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条件" sheetId="1" state="visible" r:id="rId3"/>
    <sheet name="ユニットエコノミクス" sheetId="2" state="visible" r:id="rId4"/>
    <sheet name="収益・損益試算" sheetId="3" state="visible" r:id="rId5"/>
    <sheet name="シナリオ分析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<sst xmlns="http://schemas.openxmlformats.org/spreadsheetml/2006/main" count="185" uniqueCount="160">
  <si>
    <t xml:space="preserve">🐾 アズカル　収益モデル前提条件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</si>
  <si>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DejaVu Sans"/>
        <family val="2"/>
      </rPr>
      <t xml:space="preserve">取引単価（飼い主→シッター）</t>
    </r>
  </si>
  <si>
    <r>
      <rPr>
        <sz val="10"/>
        <color rgb="FF000000"/>
        <rFont val="DejaVu Sans"/>
        <family val="2"/>
      </rPr>
      <t xml:space="preserve">平均予約単価（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予約あたり）</t>
    </r>
  </si>
  <si>
    <t xml:space="preserve">円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</si>
  <si>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泊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DejaVu Sans"/>
        <family val="2"/>
      </rPr>
      <t xml:space="preserve">泊が平均的な利用（</t>
    </r>
    <r>
      <rPr>
        <sz val="10"/>
        <color rgb="FF000000"/>
        <rFont val="Arial"/>
        <family val="0"/>
        <charset val="1"/>
      </rPr>
      <t xml:space="preserve">@5,000</t>
    </r>
    <r>
      <rPr>
        <sz val="10"/>
        <color rgb="FF000000"/>
        <rFont val="DejaVu Sans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泊 </t>
    </r>
    <r>
      <rPr>
        <sz val="10"/>
        <color rgb="FF000000"/>
        <rFont val="Arial"/>
        <family val="0"/>
        <charset val="1"/>
      </rPr>
      <t xml:space="preserve">× 2</t>
    </r>
    <r>
      <rPr>
        <sz val="10"/>
        <color rgb="FF000000"/>
        <rFont val="DejaVu Sans"/>
        <family val="2"/>
      </rPr>
      <t xml:space="preserve">泊）</t>
    </r>
  </si>
  <si>
    <t xml:space="preserve">プラットフォーム手数料率</t>
  </si>
  <si>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%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</si>
  <si>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Rover=20%, DogHuggy=30%</t>
    </r>
    <r>
      <rPr>
        <sz val="10"/>
        <color rgb="FF000000"/>
        <rFont val="DejaVu Sans"/>
        <family val="2"/>
      </rPr>
      <t xml:space="preserve">。競合より低い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DejaVu Sans"/>
        <family val="2"/>
      </rPr>
      <t xml:space="preserve">を訴求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</si>
  <si>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予約あたりプラットフォーム収益</t>
    </r>
  </si>
  <si>
    <r>
      <rPr>
        <sz val="10"/>
        <color rgb="FF000000"/>
        <rFont val="DejaVu Sans"/>
        <family val="2"/>
        <charset val="1"/>
      </rPr>
      <t xml:space="preserve"> =</t>
    </r>
    <r>
      <rPr>
        <sz val="10"/>
        <color rgb="FF000000"/>
        <rFont val="DejaVu Sans"/>
        <family val="2"/>
      </rPr>
      <t xml:space="preserve">平均予約単価</t>
    </r>
    <r>
      <rPr>
        <sz val="10"/>
        <color rgb="FF000000"/>
        <rFont val="DejaVu Sans"/>
        <family val="2"/>
        <charset val="1"/>
      </rPr>
      <t xml:space="preserve">×</t>
    </r>
    <r>
      <rPr>
        <sz val="10"/>
        <color rgb="FF000000"/>
        <rFont val="DejaVu Sans"/>
        <family val="2"/>
      </rPr>
      <t xml:space="preserve">手数料率（数式）</t>
    </r>
  </si>
  <si>
    <r>
      <rPr>
        <sz val="10"/>
        <color rgb="FF000000"/>
        <rFont val="DejaVu Sans"/>
        <family val="2"/>
      </rPr>
      <t xml:space="preserve">決済手数料（</t>
    </r>
    <r>
      <rPr>
        <sz val="10"/>
        <color rgb="FF000000"/>
        <rFont val="DejaVu Sans"/>
        <family val="2"/>
        <charset val="1"/>
      </rPr>
      <t xml:space="preserve">Stripe</t>
    </r>
    <r>
      <rPr>
        <sz val="10"/>
        <color rgb="FF000000"/>
        <rFont val="DejaVu Sans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</si>
  <si>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Stripe=3.1%</t>
    </r>
    <r>
      <rPr>
        <sz val="10"/>
        <color rgb="FF000000"/>
        <rFont val="DejaVu Sans"/>
        <family val="2"/>
      </rPr>
      <t xml:space="preserve">（国内カード）</t>
    </r>
  </si>
  <si>
    <r>
      <rPr>
        <sz val="10"/>
        <color rgb="FF000000"/>
        <rFont val="DejaVu Sans"/>
        <family val="2"/>
      </rPr>
      <t xml:space="preserve">決済コスト控除後ネット収益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予約</t>
    </r>
  </si>
  <si>
    <r>
      <rPr>
        <sz val="10"/>
        <color rgb="FF000000"/>
        <rFont val="DejaVu Sans"/>
        <family val="2"/>
        <charset val="1"/>
      </rPr>
      <t xml:space="preserve"> =</t>
    </r>
    <r>
      <rPr>
        <sz val="10"/>
        <color rgb="FF000000"/>
        <rFont val="DejaVu Sans"/>
        <family val="2"/>
      </rPr>
      <t xml:space="preserve">収益 </t>
    </r>
    <r>
      <rPr>
        <sz val="10"/>
        <color rgb="FF000000"/>
        <rFont val="DejaVu Sans"/>
        <family val="2"/>
        <charset val="1"/>
      </rPr>
      <t xml:space="preserve">- </t>
    </r>
    <r>
      <rPr>
        <sz val="10"/>
        <color rgb="FF000000"/>
        <rFont val="DejaVu Sans"/>
        <family val="2"/>
      </rPr>
      <t xml:space="preserve">決済コスト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</si>
  <si>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DejaVu Sans"/>
        <family val="2"/>
      </rPr>
      <t xml:space="preserve">利用頻度・顧客生涯価値（</t>
    </r>
    <r>
      <rPr>
        <b val="true"/>
        <sz val="10"/>
        <color rgb="FF000000"/>
        <rFont val="Arial"/>
        <family val="0"/>
        <charset val="1"/>
      </rPr>
      <t xml:space="preserve">LTV</t>
    </r>
    <r>
      <rPr>
        <b val="true"/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</si>
  <si>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年間利用回数（飼い主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人あたり）</t>
    </r>
  </si>
  <si>
    <r>
      <rPr>
        <sz val="10"/>
        <color rgb="FF000000"/>
        <rFont val="DejaVu Sans"/>
        <family val="2"/>
      </rPr>
      <t xml:space="preserve">回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</si>
  <si>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DejaVu Sans"/>
        <family val="2"/>
      </rPr>
      <t xml:space="preserve">旅行・出張：年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〜</t>
    </r>
    <r>
      <rPr>
        <sz val="10"/>
        <color rgb="FF000000"/>
        <rFont val="DejaVu Sans"/>
        <family val="2"/>
        <charset val="1"/>
      </rPr>
      <t xml:space="preserve">3</t>
    </r>
    <r>
      <rPr>
        <sz val="10"/>
        <color rgb="FF000000"/>
        <rFont val="DejaVu Sans"/>
        <family val="2"/>
      </rPr>
      <t xml:space="preserve">回が現実的な上限。ペットホテル比較参考値</t>
    </r>
  </si>
  <si>
    <t xml:space="preserve">年間チャーン率（離脱率）</t>
  </si>
  <si>
    <t xml:space="preserve">率</t>
  </si>
  <si>
    <t xml:space="preserve">定期利用は少なく離脱が早い想定。改善余地あり</t>
  </si>
  <si>
    <r>
      <rPr>
        <sz val="10"/>
        <color rgb="FF000000"/>
        <rFont val="DejaVu Sans"/>
        <family val="2"/>
      </rPr>
      <t xml:space="preserve">平均顧客継続年数（</t>
    </r>
    <r>
      <rPr>
        <sz val="10"/>
        <color rgb="FF000000"/>
        <rFont val="DejaVu Sans"/>
        <family val="2"/>
        <charset val="1"/>
      </rPr>
      <t xml:space="preserve">=1/</t>
    </r>
    <r>
      <rPr>
        <sz val="10"/>
        <color rgb="FF000000"/>
        <rFont val="DejaVu Sans"/>
        <family val="2"/>
      </rPr>
      <t xml:space="preserve">チャーン）</t>
    </r>
  </si>
  <si>
    <t xml:space="preserve">年</t>
  </si>
  <si>
    <r>
      <rPr>
        <sz val="10"/>
        <color rgb="FF000000"/>
        <rFont val="DejaVu Sans"/>
        <family val="2"/>
        <charset val="1"/>
      </rPr>
      <t xml:space="preserve"> =1÷</t>
    </r>
    <r>
      <rPr>
        <sz val="10"/>
        <color rgb="FF000000"/>
        <rFont val="DejaVu Sans"/>
        <family val="2"/>
      </rPr>
      <t xml:space="preserve">年間チャーン率</t>
    </r>
  </si>
  <si>
    <r>
      <rPr>
        <sz val="10"/>
        <color rgb="FF000000"/>
        <rFont val="DejaVu Sans"/>
        <family val="2"/>
      </rPr>
      <t xml:space="preserve">顧客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人あたり</t>
    </r>
    <r>
      <rPr>
        <sz val="10"/>
        <color rgb="FF000000"/>
        <rFont val="DejaVu Sans"/>
        <family val="2"/>
        <charset val="1"/>
      </rPr>
      <t xml:space="preserve">LTV</t>
    </r>
    <r>
      <rPr>
        <sz val="10"/>
        <color rgb="FF000000"/>
        <rFont val="DejaVu Sans"/>
        <family val="2"/>
      </rPr>
      <t xml:space="preserve">（粗利ベース）</t>
    </r>
  </si>
  <si>
    <r>
      <rPr>
        <sz val="10"/>
        <color rgb="FF000000"/>
        <rFont val="DejaVu Sans"/>
        <family val="2"/>
        <charset val="1"/>
      </rPr>
      <t xml:space="preserve"> =</t>
    </r>
    <r>
      <rPr>
        <sz val="10"/>
        <color rgb="FF000000"/>
        <rFont val="DejaVu Sans"/>
        <family val="2"/>
      </rPr>
      <t xml:space="preserve">ネット収益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予約</t>
    </r>
    <r>
      <rPr>
        <sz val="10"/>
        <color rgb="FF000000"/>
        <rFont val="DejaVu Sans"/>
        <family val="2"/>
        <charset val="1"/>
      </rPr>
      <t xml:space="preserve">×</t>
    </r>
    <r>
      <rPr>
        <sz val="10"/>
        <color rgb="FF000000"/>
        <rFont val="DejaVu Sans"/>
        <family val="2"/>
      </rPr>
      <t xml:space="preserve">年間利用回数</t>
    </r>
    <r>
      <rPr>
        <sz val="10"/>
        <color rgb="FF000000"/>
        <rFont val="DejaVu Sans"/>
        <family val="2"/>
        <charset val="1"/>
      </rPr>
      <t xml:space="preserve">×</t>
    </r>
    <r>
      <rPr>
        <sz val="10"/>
        <color rgb="FF000000"/>
        <rFont val="DejaVu Sans"/>
        <family val="2"/>
      </rPr>
      <t xml:space="preserve">継続年数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</si>
  <si>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DejaVu Sans"/>
        <family val="2"/>
      </rPr>
      <t xml:space="preserve">顧客獲得コスト（</t>
    </r>
    <r>
      <rPr>
        <b val="true"/>
        <sz val="10"/>
        <color rgb="FF000000"/>
        <rFont val="Arial"/>
        <family val="0"/>
        <charset val="1"/>
      </rPr>
      <t xml:space="preserve">CAC</t>
    </r>
    <r>
      <rPr>
        <b val="true"/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</si>
  <si>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飼い主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（オーガニック）</t>
    </r>
  </si>
  <si>
    <r>
      <rPr>
        <sz val="10"/>
        <color rgb="FF000000"/>
        <rFont val="Arial"/>
        <family val="0"/>
        <charset val="1"/>
      </rPr>
      <t xml:space="preserve">Instagram</t>
    </r>
    <r>
      <rPr>
        <sz val="10"/>
        <color rgb="FF000000"/>
        <rFont val="DejaVu Sans"/>
        <family val="2"/>
      </rPr>
      <t xml:space="preserve">・口コミ・</t>
    </r>
    <r>
      <rPr>
        <sz val="10"/>
        <color rgb="FF000000"/>
        <rFont val="Arial"/>
        <family val="0"/>
        <charset val="1"/>
      </rPr>
      <t xml:space="preserve">SEO</t>
    </r>
    <r>
      <rPr>
        <sz val="10"/>
        <color rgb="FF000000"/>
        <rFont val="DejaVu Sans"/>
        <family val="2"/>
      </rPr>
      <t xml:space="preserve">等。人件費按分込み</t>
    </r>
  </si>
  <si>
    <r>
      <rPr>
        <sz val="10"/>
        <color rgb="FF000000"/>
        <rFont val="DejaVu Sans"/>
        <family val="2"/>
      </rPr>
      <t xml:space="preserve">飼い主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（有料広告）</t>
    </r>
  </si>
  <si>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DejaVu Sans"/>
        <family val="2"/>
      </rPr>
      <t xml:space="preserve">広告</t>
    </r>
    <r>
      <rPr>
        <sz val="10"/>
        <color rgb="FF000000"/>
        <rFont val="Arial"/>
        <family val="0"/>
        <charset val="1"/>
      </rPr>
      <t xml:space="preserve">CPC×CTR×CVR</t>
    </r>
    <r>
      <rPr>
        <sz val="10"/>
        <color rgb="FF000000"/>
        <rFont val="DejaVu Sans"/>
        <family val="2"/>
      </rPr>
      <t xml:space="preserve">試算。日本のアプリ</t>
    </r>
    <r>
      <rPr>
        <sz val="10"/>
        <color rgb="FF000000"/>
        <rFont val="Arial"/>
        <family val="0"/>
        <charset val="1"/>
      </rPr>
      <t xml:space="preserve">CAC</t>
    </r>
    <r>
      <rPr>
        <sz val="10"/>
        <color rgb="FF000000"/>
        <rFont val="DejaVu Sans"/>
        <family val="2"/>
      </rPr>
      <t xml:space="preserve">相場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DejaVu Sans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DejaVu Sans"/>
        <family val="2"/>
      </rPr>
      <t xml:space="preserve">円</t>
    </r>
  </si>
  <si>
    <r>
      <rPr>
        <sz val="10"/>
        <color rgb="FF000000"/>
        <rFont val="DejaVu Sans"/>
        <family val="2"/>
      </rPr>
      <t xml:space="preserve">飼い主ブレンド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（想定）</t>
    </r>
  </si>
  <si>
    <r>
      <rPr>
        <sz val="10"/>
        <color rgb="FF000000"/>
        <rFont val="DejaVu Sans"/>
        <family val="2"/>
      </rPr>
      <t xml:space="preserve">オーガニック</t>
    </r>
    <r>
      <rPr>
        <sz val="10"/>
        <color rgb="FF000000"/>
        <rFont val="DejaVu Sans"/>
        <family val="2"/>
        <charset val="1"/>
      </rPr>
      <t xml:space="preserve">60%</t>
    </r>
    <r>
      <rPr>
        <sz val="10"/>
        <color rgb="FF000000"/>
        <rFont val="DejaVu Sans"/>
        <family val="2"/>
      </rPr>
      <t xml:space="preserve">＋有料</t>
    </r>
    <r>
      <rPr>
        <sz val="10"/>
        <color rgb="FF000000"/>
        <rFont val="DejaVu Sans"/>
        <family val="2"/>
        <charset val="1"/>
      </rPr>
      <t xml:space="preserve">40%</t>
    </r>
    <r>
      <rPr>
        <sz val="10"/>
        <color rgb="FF000000"/>
        <rFont val="DejaVu Sans"/>
        <family val="2"/>
      </rPr>
      <t xml:space="preserve">の加重平均目安</t>
    </r>
  </si>
  <si>
    <r>
      <rPr>
        <sz val="10"/>
        <color rgb="FF000000"/>
        <rFont val="DejaVu Sans"/>
        <family val="2"/>
      </rPr>
      <t xml:space="preserve">シッター</t>
    </r>
    <r>
      <rPr>
        <sz val="10"/>
        <color rgb="FF000000"/>
        <rFont val="DejaVu Sans"/>
        <family val="2"/>
        <charset val="1"/>
      </rPr>
      <t xml:space="preserve">CAC</t>
    </r>
  </si>
  <si>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DejaVu Sans"/>
        <family val="2"/>
      </rPr>
      <t xml:space="preserve">中心。需要側より獲得しやすい想定</t>
    </r>
  </si>
  <si>
    <r>
      <rPr>
        <sz val="10"/>
        <color rgb="FF000000"/>
        <rFont val="DejaVu Sans"/>
        <family val="2"/>
      </rPr>
      <t xml:space="preserve">両サイド合計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ペア獲得）</t>
    </r>
  </si>
  <si>
    <r>
      <rPr>
        <sz val="10"/>
        <color rgb="FF000000"/>
        <rFont val="DejaVu Sans"/>
        <family val="2"/>
        <charset val="1"/>
      </rPr>
      <t xml:space="preserve"> =</t>
    </r>
    <r>
      <rPr>
        <sz val="10"/>
        <color rgb="FF000000"/>
        <rFont val="DejaVu Sans"/>
        <family val="2"/>
      </rPr>
      <t xml:space="preserve">飼い主ブレンド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＋シッター</t>
    </r>
    <r>
      <rPr>
        <sz val="10"/>
        <color rgb="FF000000"/>
        <rFont val="DejaVu Sans"/>
        <family val="2"/>
        <charset val="1"/>
      </rPr>
      <t xml:space="preserve">CAC</t>
    </r>
  </si>
  <si>
    <r>
      <rPr>
        <sz val="10"/>
        <color rgb="FF000000"/>
        <rFont val="Arial"/>
        <family val="0"/>
        <charset val="1"/>
      </rPr>
      <t xml:space="preserve">LTV/CAC</t>
    </r>
    <r>
      <rPr>
        <sz val="10"/>
        <color rgb="FF000000"/>
        <rFont val="DejaVu Sans"/>
        <family val="2"/>
      </rPr>
      <t xml:space="preserve">倍率（飼い主のみ）</t>
    </r>
  </si>
  <si>
    <t xml:space="preserve">倍</t>
  </si>
  <si>
    <r>
      <rPr>
        <sz val="10"/>
        <color rgb="FF000000"/>
        <rFont val="DejaVu Sans"/>
        <family val="2"/>
        <charset val="1"/>
      </rPr>
      <t xml:space="preserve"> =</t>
    </r>
    <r>
      <rPr>
        <sz val="10"/>
        <color rgb="FF000000"/>
        <rFont val="DejaVu Sans"/>
        <family val="2"/>
      </rPr>
      <t xml:space="preserve">飼い主</t>
    </r>
    <r>
      <rPr>
        <sz val="10"/>
        <color rgb="FF000000"/>
        <rFont val="DejaVu Sans"/>
        <family val="2"/>
        <charset val="1"/>
      </rPr>
      <t xml:space="preserve">ltv÷</t>
    </r>
    <r>
      <rPr>
        <sz val="10"/>
        <color rgb="FF000000"/>
        <rFont val="DejaVu Sans"/>
        <family val="2"/>
      </rPr>
      <t xml:space="preserve">飼い主ブレンド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。</t>
    </r>
    <r>
      <rPr>
        <sz val="10"/>
        <color rgb="FF000000"/>
        <rFont val="DejaVu Sans"/>
        <family val="2"/>
        <charset val="1"/>
      </rPr>
      <t xml:space="preserve">3</t>
    </r>
    <r>
      <rPr>
        <sz val="10"/>
        <color rgb="FF000000"/>
        <rFont val="DejaVu Sans"/>
        <family val="2"/>
      </rPr>
      <t xml:space="preserve">倍以上が健全ライン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</si>
  <si>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DejaVu Sans"/>
        <family val="2"/>
      </rPr>
      <t xml:space="preserve">月次固定費（ベースライン）</t>
    </r>
  </si>
  <si>
    <r>
      <rPr>
        <sz val="10"/>
        <color rgb="FF000000"/>
        <rFont val="DejaVu Sans"/>
        <family val="2"/>
      </rPr>
      <t xml:space="preserve">エンジニア人件費（</t>
    </r>
    <r>
      <rPr>
        <sz val="10"/>
        <color rgb="FF000000"/>
        <rFont val="DejaVu Sans"/>
        <family val="2"/>
        <charset val="1"/>
      </rPr>
      <t xml:space="preserve">Claude</t>
    </r>
    <r>
      <rPr>
        <sz val="10"/>
        <color rgb="FF000000"/>
        <rFont val="DejaVu Sans"/>
        <family val="2"/>
      </rPr>
      <t xml:space="preserve">対応・実質</t>
    </r>
    <r>
      <rPr>
        <sz val="10"/>
        <color rgb="FF000000"/>
        <rFont val="DejaVu Sans"/>
        <family val="2"/>
        <charset val="1"/>
      </rPr>
      <t xml:space="preserve">0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</si>
  <si>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円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</si>
  <si>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  <charset val="1"/>
      </rPr>
      <t xml:space="preserve">Claude</t>
    </r>
    <r>
      <rPr>
        <sz val="10"/>
        <color rgb="FF000000"/>
        <rFont val="DejaVu Sans"/>
        <family val="2"/>
      </rPr>
      <t xml:space="preserve">活用により人件費ゼロ。サービス利用料のみ（インフラ費に含む）</t>
    </r>
  </si>
  <si>
    <r>
      <rPr>
        <sz val="10"/>
        <color rgb="FF000000"/>
        <rFont val="DejaVu Sans"/>
        <family val="2"/>
      </rPr>
      <t xml:space="preserve">マーケ担当人件費（妻が担当・実質</t>
    </r>
    <r>
      <rPr>
        <sz val="10"/>
        <color rgb="FF000000"/>
        <rFont val="DejaVu Sans"/>
        <family val="2"/>
        <charset val="1"/>
      </rPr>
      <t xml:space="preserve">0</t>
    </r>
    <r>
      <rPr>
        <sz val="10"/>
        <color rgb="FF000000"/>
        <rFont val="DejaVu Sans"/>
        <family val="2"/>
      </rPr>
      <t xml:space="preserve">）</t>
    </r>
  </si>
  <si>
    <t xml:space="preserve">創業メンバーが兼任。外注費が発生した場合のみ別途計上</t>
  </si>
  <si>
    <r>
      <rPr>
        <sz val="10"/>
        <color rgb="FF000000"/>
        <rFont val="DejaVu Sans"/>
        <family val="2"/>
      </rPr>
      <t xml:space="preserve">インフラ・</t>
    </r>
    <r>
      <rPr>
        <sz val="10"/>
        <color rgb="FF000000"/>
        <rFont val="DejaVu Sans"/>
        <family val="2"/>
        <charset val="1"/>
      </rPr>
      <t xml:space="preserve">SaaS</t>
    </r>
    <r>
      <rPr>
        <sz val="10"/>
        <color rgb="FF000000"/>
        <rFont val="DejaVu Sans"/>
        <family val="2"/>
      </rPr>
      <t xml:space="preserve">費用</t>
    </r>
  </si>
  <si>
    <r>
      <rPr>
        <sz val="10"/>
        <color rgb="FF000000"/>
        <rFont val="Arial"/>
        <family val="0"/>
        <charset val="1"/>
      </rPr>
      <t xml:space="preserve">Vercel Pro</t>
    </r>
    <r>
      <rPr>
        <sz val="10"/>
        <color rgb="FF000000"/>
        <rFont val="DejaVu Sans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DejaVu Sans"/>
        <family val="2"/>
      </rPr>
      <t xml:space="preserve">円 </t>
    </r>
    <r>
      <rPr>
        <sz val="10"/>
        <color rgb="FF000000"/>
        <rFont val="Arial"/>
        <family val="0"/>
        <charset val="1"/>
      </rPr>
      <t xml:space="preserve">+ Supabase Pro</t>
    </r>
    <r>
      <rPr>
        <sz val="10"/>
        <color rgb="FF000000"/>
        <rFont val="DejaVu Sans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DejaVu Sans"/>
        <family val="2"/>
      </rPr>
      <t xml:space="preserve">円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ドメイン等。</t>
    </r>
    <r>
      <rPr>
        <sz val="10"/>
        <color rgb="FF000000"/>
        <rFont val="Arial"/>
        <family val="0"/>
        <charset val="1"/>
      </rPr>
      <t xml:space="preserve">Claude API</t>
    </r>
    <r>
      <rPr>
        <sz val="10"/>
        <color rgb="FF000000"/>
        <rFont val="DejaVu Sans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Notion</t>
    </r>
    <r>
      <rPr>
        <sz val="10"/>
        <color rgb="FF000000"/>
        <rFont val="DejaVu Sans"/>
        <family val="2"/>
      </rPr>
      <t xml:space="preserve">は個人兼用のため除外</t>
    </r>
  </si>
  <si>
    <t xml:space="preserve">法務・会計費用（規約整備まで不要）</t>
  </si>
  <si>
    <t xml:space="preserve">規約作成は初期に単発対応。顧問契約は結ばない方針</t>
  </si>
  <si>
    <t xml:space="preserve">その他雑費</t>
  </si>
  <si>
    <r>
      <rPr>
        <sz val="10"/>
        <color rgb="FF000000"/>
        <rFont val="DejaVu Sans"/>
        <family val="2"/>
      </rPr>
      <t xml:space="preserve">通信費按分 </t>
    </r>
    <r>
      <rPr>
        <sz val="10"/>
        <color rgb="FF000000"/>
        <rFont val="DejaVu Sans"/>
        <family val="2"/>
        <charset val="1"/>
      </rPr>
      <t xml:space="preserve">+ Figma/Notion</t>
    </r>
    <r>
      <rPr>
        <sz val="10"/>
        <color rgb="FF000000"/>
        <rFont val="DejaVu Sans"/>
        <family val="2"/>
      </rPr>
      <t xml:space="preserve">等ツール。できる限り無料枠で運用</t>
    </r>
  </si>
  <si>
    <t xml:space="preserve">月次固定費合計</t>
  </si>
  <si>
    <r>
      <rPr>
        <sz val="10"/>
        <color rgb="FF000000"/>
        <rFont val="DejaVu Sans"/>
        <family val="2"/>
        <charset val="1"/>
      </rPr>
      <t xml:space="preserve"> =</t>
    </r>
    <r>
      <rPr>
        <sz val="10"/>
        <color rgb="FF000000"/>
        <rFont val="DejaVu Sans"/>
        <family val="2"/>
      </rPr>
      <t xml:space="preserve">合計</t>
    </r>
  </si>
  <si>
    <t xml:space="preserve">年間固定費合計</t>
  </si>
  <si>
    <r>
      <rPr>
        <sz val="10"/>
        <color rgb="FF000000"/>
        <rFont val="DejaVu Sans"/>
        <family val="2"/>
      </rPr>
      <t xml:space="preserve">円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</si>
  <si>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DejaVu Sans"/>
        <family val="2"/>
        <charset val="1"/>
      </rPr>
      <t xml:space="preserve"> =</t>
    </r>
    <r>
      <rPr>
        <sz val="10"/>
        <color rgb="FF000000"/>
        <rFont val="DejaVu Sans"/>
        <family val="2"/>
      </rPr>
      <t xml:space="preserve">月次</t>
    </r>
    <r>
      <rPr>
        <sz val="10"/>
        <color rgb="FF000000"/>
        <rFont val="DejaVu Sans"/>
        <family val="2"/>
        <charset val="1"/>
      </rPr>
      <t xml:space="preserve">×12</t>
    </r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</si>
  <si>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DejaVu Sans"/>
        <family val="2"/>
      </rPr>
      <t xml:space="preserve">ユーザー成長・マーケティング予算仮定</t>
    </r>
  </si>
  <si>
    <t xml:space="preserve">初年度末アクティブ飼い主数（ベース・広告なし）</t>
  </si>
  <si>
    <t xml:space="preserve">人</t>
  </si>
  <si>
    <r>
      <rPr>
        <sz val="10"/>
        <color rgb="FF000000"/>
        <rFont val="DejaVu Sans"/>
        <family val="2"/>
      </rPr>
      <t xml:space="preserve">先行登録</t>
    </r>
    <r>
      <rPr>
        <sz val="10"/>
        <color rgb="FF000000"/>
        <rFont val="DejaVu Sans"/>
        <family val="2"/>
        <charset val="1"/>
      </rPr>
      <t xml:space="preserve">50</t>
    </r>
    <r>
      <rPr>
        <sz val="10"/>
        <color rgb="FF000000"/>
        <rFont val="DejaVu Sans"/>
        <family val="2"/>
      </rPr>
      <t xml:space="preserve">〜</t>
    </r>
    <r>
      <rPr>
        <sz val="10"/>
        <color rgb="FF000000"/>
        <rFont val="DejaVu Sans"/>
        <family val="2"/>
        <charset val="1"/>
      </rPr>
      <t xml:space="preserve">100</t>
    </r>
    <r>
      <rPr>
        <sz val="10"/>
        <color rgb="FF000000"/>
        <rFont val="DejaVu Sans"/>
        <family val="2"/>
      </rPr>
      <t xml:space="preserve">件から口コミ・</t>
    </r>
    <r>
      <rPr>
        <sz val="10"/>
        <color rgb="FF000000"/>
        <rFont val="DejaVu Sans"/>
        <family val="2"/>
        <charset val="1"/>
      </rPr>
      <t xml:space="preserve">Instagram</t>
    </r>
    <r>
      <rPr>
        <sz val="10"/>
        <color rgb="FF000000"/>
        <rFont val="DejaVu Sans"/>
        <family val="2"/>
      </rPr>
      <t xml:space="preserve">有機流入のみ。</t>
    </r>
    <r>
      <rPr>
        <sz val="10"/>
        <color rgb="FF000000"/>
        <rFont val="DejaVu Sans"/>
        <family val="2"/>
        <charset val="1"/>
      </rPr>
      <t xml:space="preserve">300</t>
    </r>
    <r>
      <rPr>
        <sz val="10"/>
        <color rgb="FF000000"/>
        <rFont val="DejaVu Sans"/>
        <family val="2"/>
      </rPr>
      <t xml:space="preserve">人が現実的な目標</t>
    </r>
  </si>
  <si>
    <r>
      <rPr>
        <sz val="10"/>
        <color rgb="FF000000"/>
        <rFont val="DejaVu Sans"/>
        <family val="2"/>
      </rPr>
      <t xml:space="preserve">年間成長率（</t>
    </r>
    <r>
      <rPr>
        <sz val="10"/>
        <color rgb="FF000000"/>
        <rFont val="DejaVu Sans"/>
        <family val="2"/>
        <charset val="1"/>
      </rPr>
      <t xml:space="preserve">Y1→Y2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</si>
  <si>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  <charset val="1"/>
      </rPr>
      <t xml:space="preserve">Y1→Y2</t>
    </r>
    <r>
      <rPr>
        <sz val="10"/>
        <color rgb="FF000000"/>
        <rFont val="DejaVu Sans"/>
        <family val="2"/>
      </rPr>
      <t xml:space="preserve">：</t>
    </r>
    <r>
      <rPr>
        <sz val="10"/>
        <color rgb="FF000000"/>
        <rFont val="DejaVu Sans"/>
        <family val="2"/>
        <charset val="1"/>
      </rPr>
      <t xml:space="preserve">Instagram</t>
    </r>
    <r>
      <rPr>
        <sz val="10"/>
        <color rgb="FF000000"/>
        <rFont val="DejaVu Sans"/>
        <family val="2"/>
      </rPr>
      <t xml:space="preserve">・口コミ主体。広告なしで</t>
    </r>
    <r>
      <rPr>
        <sz val="10"/>
        <color rgb="FF000000"/>
        <rFont val="DejaVu Sans"/>
        <family val="2"/>
        <charset val="1"/>
      </rPr>
      <t xml:space="preserve">30%</t>
    </r>
    <r>
      <rPr>
        <sz val="10"/>
        <color rgb="FF000000"/>
        <rFont val="DejaVu Sans"/>
        <family val="2"/>
      </rPr>
      <t xml:space="preserve">増が現実的上限</t>
    </r>
  </si>
  <si>
    <r>
      <rPr>
        <sz val="10"/>
        <color rgb="FF000000"/>
        <rFont val="DejaVu Sans"/>
        <family val="2"/>
      </rPr>
      <t xml:space="preserve">年間成長率（</t>
    </r>
    <r>
      <rPr>
        <sz val="10"/>
        <color rgb="FF000000"/>
        <rFont val="DejaVu Sans"/>
        <family val="2"/>
        <charset val="1"/>
      </rPr>
      <t xml:space="preserve">Y2→Y3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</si>
  <si>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  <charset val="1"/>
      </rPr>
      <t xml:space="preserve">Y2→Y3</t>
    </r>
    <r>
      <rPr>
        <sz val="10"/>
        <color rgb="FF000000"/>
        <rFont val="DejaVu Sans"/>
        <family val="2"/>
      </rPr>
      <t xml:space="preserve">：プロダクト成熟、紹介フライホイールが回り始める</t>
    </r>
  </si>
  <si>
    <r>
      <rPr>
        <sz val="10"/>
        <color rgb="FF000000"/>
        <rFont val="DejaVu Sans"/>
        <family val="2"/>
      </rPr>
      <t xml:space="preserve">年間成長率（</t>
    </r>
    <r>
      <rPr>
        <sz val="10"/>
        <color rgb="FF000000"/>
        <rFont val="DejaVu Sans"/>
        <family val="2"/>
        <charset val="1"/>
      </rPr>
      <t xml:space="preserve">Y3→Y4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</si>
  <si>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  <charset val="1"/>
      </rPr>
      <t xml:space="preserve">Y3→Y4</t>
    </r>
    <r>
      <rPr>
        <sz val="10"/>
        <color rgb="FF000000"/>
        <rFont val="DejaVu Sans"/>
        <family val="2"/>
      </rPr>
      <t xml:space="preserve">：継続伸長</t>
    </r>
  </si>
  <si>
    <r>
      <rPr>
        <sz val="10"/>
        <color rgb="FF000000"/>
        <rFont val="DejaVu Sans"/>
        <family val="2"/>
      </rPr>
      <t xml:space="preserve">年間成長率（</t>
    </r>
    <r>
      <rPr>
        <sz val="10"/>
        <color rgb="FF000000"/>
        <rFont val="DejaVu Sans"/>
        <family val="2"/>
        <charset val="1"/>
      </rPr>
      <t xml:space="preserve">Y4→Y5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</si>
  <si>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  <charset val="1"/>
      </rPr>
      <t xml:space="preserve">Y4→Y5</t>
    </r>
    <r>
      <rPr>
        <sz val="10"/>
        <color rgb="FF000000"/>
        <rFont val="DejaVu Sans"/>
        <family val="2"/>
      </rPr>
      <t xml:space="preserve">：安定フェーズ。大型成長は資金調達後</t>
    </r>
  </si>
  <si>
    <t xml:space="preserve">月次広告予算（上限・ブートストラップ）</t>
  </si>
  <si>
    <r>
      <rPr>
        <sz val="10"/>
        <color rgb="FF000000"/>
        <rFont val="DejaVu Sans"/>
        <family val="2"/>
        <charset val="1"/>
      </rPr>
      <t xml:space="preserve">Instagram</t>
    </r>
    <r>
      <rPr>
        <sz val="10"/>
        <color rgb="FF000000"/>
        <rFont val="DejaVu Sans"/>
        <family val="2"/>
      </rPr>
      <t xml:space="preserve">少額広告＋ツール代のみ。資金調達後に拡大予定</t>
    </r>
  </si>
  <si>
    <r>
      <rPr>
        <i val="true"/>
        <sz val="9"/>
        <color rgb="FF595959"/>
        <rFont val="DejaVu Sans"/>
        <family val="2"/>
      </rPr>
      <t xml:space="preserve">【凡例】  青文字 </t>
    </r>
    <r>
      <rPr>
        <i val="true"/>
        <sz val="9"/>
        <color rgb="FF595959"/>
        <rFont val="DejaVu Sans"/>
        <family val="2"/>
        <charset val="1"/>
      </rPr>
      <t xml:space="preserve">= </t>
    </r>
    <r>
      <rPr>
        <i val="true"/>
        <sz val="9"/>
        <color rgb="FF595959"/>
        <rFont val="DejaVu Sans"/>
        <family val="2"/>
      </rPr>
      <t xml:space="preserve">変更可能な入力値（仮定）　｜　黒文字 </t>
    </r>
    <r>
      <rPr>
        <i val="true"/>
        <sz val="9"/>
        <color rgb="FF595959"/>
        <rFont val="DejaVu Sans"/>
        <family val="2"/>
        <charset val="1"/>
      </rPr>
      <t xml:space="preserve">= </t>
    </r>
    <r>
      <rPr>
        <i val="true"/>
        <sz val="9"/>
        <color rgb="FF595959"/>
        <rFont val="DejaVu Sans"/>
        <family val="2"/>
      </rPr>
      <t xml:space="preserve">数式（自動計算）　｜　黄背景 </t>
    </r>
    <r>
      <rPr>
        <i val="true"/>
        <sz val="9"/>
        <color rgb="FF595959"/>
        <rFont val="DejaVu Sans"/>
        <family val="2"/>
        <charset val="1"/>
      </rPr>
      <t xml:space="preserve">= </t>
    </r>
    <r>
      <rPr>
        <i val="true"/>
        <sz val="9"/>
        <color rgb="FF595959"/>
        <rFont val="DejaVu Sans"/>
        <family val="2"/>
      </rPr>
      <t xml:space="preserve">特に要確認の重要仮定</t>
    </r>
  </si>
  <si>
    <r>
      <rPr>
        <b val="true"/>
        <sz val="13"/>
        <color rgb="FFFFFFFF"/>
        <rFont val="DejaVu Sans"/>
        <family val="2"/>
      </rPr>
      <t xml:space="preserve">🔍 ユニットエコノミクス分析（飼い主</t>
    </r>
    <r>
      <rPr>
        <b val="true"/>
        <sz val="13"/>
        <color rgb="FFFFFFFF"/>
        <rFont val="DejaVu Sans"/>
        <family val="2"/>
        <charset val="1"/>
      </rPr>
      <t xml:space="preserve">1</t>
    </r>
    <r>
      <rPr>
        <b val="true"/>
        <sz val="13"/>
        <color rgb="FFFFFFFF"/>
        <rFont val="DejaVu Sans"/>
        <family val="2"/>
      </rPr>
      <t xml:space="preserve">人あたり）</t>
    </r>
  </si>
  <si>
    <r>
      <rPr>
        <b val="true"/>
        <sz val="10"/>
        <color rgb="FF000000"/>
        <rFont val="Arial"/>
        <family val="0"/>
        <charset val="1"/>
      </rPr>
      <t xml:space="preserve">▍ LTV</t>
    </r>
    <r>
      <rPr>
        <b val="true"/>
        <sz val="10"/>
        <color rgb="FF000000"/>
        <rFont val="DejaVu Sans"/>
        <family val="2"/>
      </rPr>
      <t xml:space="preserve">構成ウォーターフォール</t>
    </r>
  </si>
  <si>
    <t xml:space="preserve">① 平均予約単価</t>
  </si>
  <si>
    <t xml:space="preserve">② プラットフォーム手数料率</t>
  </si>
  <si>
    <r>
      <rPr>
        <sz val="10"/>
        <color rgb="FF000000"/>
        <rFont val="DejaVu Sans"/>
        <family val="2"/>
      </rPr>
      <t xml:space="preserve">③ 手数料収益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予約</t>
    </r>
  </si>
  <si>
    <r>
      <rPr>
        <sz val="10"/>
        <color rgb="FF000000"/>
        <rFont val="DejaVu Sans"/>
        <family val="2"/>
      </rPr>
      <t xml:space="preserve">④ 決済コスト率（</t>
    </r>
    <r>
      <rPr>
        <sz val="10"/>
        <color rgb="FF000000"/>
        <rFont val="DejaVu Sans"/>
        <family val="2"/>
        <charset val="1"/>
      </rPr>
      <t xml:space="preserve">Stripe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</si>
  <si>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⑤ 決済コスト控除後収益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予約</t>
    </r>
  </si>
  <si>
    <r>
      <rPr>
        <sz val="10"/>
        <color rgb="FF000000"/>
        <rFont val="DejaVu Sans"/>
        <family val="2"/>
      </rPr>
      <t xml:space="preserve">実質手取り収益。</t>
    </r>
    <r>
      <rPr>
        <sz val="10"/>
        <color rgb="FF000000"/>
        <rFont val="DejaVu Sans"/>
        <family val="2"/>
        <charset val="1"/>
      </rPr>
      <t xml:space="preserve">Stripe</t>
    </r>
    <r>
      <rPr>
        <sz val="10"/>
        <color rgb="FF000000"/>
        <rFont val="DejaVu Sans"/>
        <family val="2"/>
      </rPr>
      <t xml:space="preserve">コスト</t>
    </r>
    <r>
      <rPr>
        <sz val="10"/>
        <color rgb="FF000000"/>
        <rFont val="DejaVu Sans"/>
        <family val="2"/>
        <charset val="1"/>
      </rPr>
      <t xml:space="preserve">=</t>
    </r>
    <r>
      <rPr>
        <sz val="10"/>
        <color rgb="FF000000"/>
        <rFont val="DejaVu Sans"/>
        <family val="2"/>
      </rPr>
      <t xml:space="preserve">予約単価</t>
    </r>
    <r>
      <rPr>
        <sz val="10"/>
        <color rgb="FF000000"/>
        <rFont val="DejaVu Sans"/>
        <family val="2"/>
        <charset val="1"/>
      </rPr>
      <t xml:space="preserve">×3.1%</t>
    </r>
  </si>
  <si>
    <t xml:space="preserve">⑥ 年間利用回数</t>
  </si>
  <si>
    <r>
      <rPr>
        <sz val="10"/>
        <color rgb="FF000000"/>
        <rFont val="DejaVu Sans"/>
        <family val="2"/>
      </rPr>
      <t xml:space="preserve">⑦ 年間収益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ユーザー</t>
    </r>
  </si>
  <si>
    <t xml:space="preserve">③×⑥</t>
  </si>
  <si>
    <t xml:space="preserve">⑧ 年間チャーン率</t>
  </si>
  <si>
    <t xml:space="preserve">⑨ 平均継続年数</t>
  </si>
  <si>
    <r>
      <rPr>
        <sz val="10"/>
        <color rgb="FF000000"/>
        <rFont val="DejaVu Sans"/>
        <family val="2"/>
      </rPr>
      <t xml:space="preserve">⑩ 飼い主</t>
    </r>
    <r>
      <rPr>
        <sz val="10"/>
        <color rgb="FF000000"/>
        <rFont val="DejaVu Sans"/>
        <family val="2"/>
        <charset val="1"/>
      </rPr>
      <t xml:space="preserve">LTV</t>
    </r>
    <r>
      <rPr>
        <sz val="10"/>
        <color rgb="FF000000"/>
        <rFont val="DejaVu Sans"/>
        <family val="2"/>
      </rPr>
      <t xml:space="preserve">（累計収益）</t>
    </r>
  </si>
  <si>
    <r>
      <rPr>
        <sz val="10"/>
        <color rgb="FF000000"/>
        <rFont val="DejaVu Sans"/>
        <family val="2"/>
        <charset val="1"/>
      </rPr>
      <t xml:space="preserve"> =⑦ × ⑨</t>
    </r>
    <r>
      <rPr>
        <sz val="10"/>
        <color rgb="FF000000"/>
        <rFont val="DejaVu Sans"/>
        <family val="2"/>
      </rPr>
      <t xml:space="preserve">。これが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上限の理論値</t>
    </r>
  </si>
  <si>
    <r>
      <rPr>
        <b val="true"/>
        <sz val="10"/>
        <color rgb="FF000000"/>
        <rFont val="DejaVu Sans"/>
        <family val="2"/>
      </rPr>
      <t xml:space="preserve">▍ 顧客獲得コスト（</t>
    </r>
    <r>
      <rPr>
        <b val="true"/>
        <sz val="10"/>
        <color rgb="FF000000"/>
        <rFont val="DejaVu Sans"/>
        <family val="2"/>
        <charset val="1"/>
      </rPr>
      <t xml:space="preserve">CAC</t>
    </r>
    <r>
      <rPr>
        <b val="true"/>
        <sz val="10"/>
        <color rgb="FF000000"/>
        <rFont val="DejaVu Sans"/>
        <family val="2"/>
      </rPr>
      <t xml:space="preserve">）と回収期間</t>
    </r>
  </si>
  <si>
    <r>
      <rPr>
        <sz val="10"/>
        <color rgb="FF000000"/>
        <rFont val="DejaVu Sans"/>
        <family val="2"/>
      </rPr>
      <t xml:space="preserve">飼い主ブレンド</t>
    </r>
    <r>
      <rPr>
        <sz val="10"/>
        <color rgb="FF000000"/>
        <rFont val="DejaVu Sans"/>
        <family val="2"/>
        <charset val="1"/>
      </rPr>
      <t xml:space="preserve">CAC</t>
    </r>
  </si>
  <si>
    <r>
      <rPr>
        <sz val="10"/>
        <color rgb="FF000000"/>
        <rFont val="DejaVu Sans"/>
        <family val="2"/>
      </rPr>
      <t xml:space="preserve">両サイド合計</t>
    </r>
    <r>
      <rPr>
        <sz val="10"/>
        <color rgb="FF000000"/>
        <rFont val="DejaVu Sans"/>
        <family val="2"/>
        <charset val="1"/>
      </rPr>
      <t xml:space="preserve">CAC</t>
    </r>
  </si>
  <si>
    <r>
      <rPr>
        <sz val="10"/>
        <color rgb="FF000000"/>
        <rFont val="Arial"/>
        <family val="0"/>
        <charset val="1"/>
      </rPr>
      <t xml:space="preserve">LTV / CAC</t>
    </r>
    <r>
      <rPr>
        <sz val="10"/>
        <color rgb="FF000000"/>
        <rFont val="DejaVu Sans"/>
        <family val="2"/>
      </rPr>
      <t xml:space="preserve">倍率（飼い主のみ）</t>
    </r>
  </si>
  <si>
    <r>
      <rPr>
        <sz val="10"/>
        <color rgb="FF000000"/>
        <rFont val="Arial"/>
        <family val="0"/>
        <charset val="1"/>
      </rPr>
      <t xml:space="preserve">⚠️ 3</t>
    </r>
    <r>
      <rPr>
        <sz val="10"/>
        <color rgb="FF000000"/>
        <rFont val="DejaVu Sans"/>
        <family val="2"/>
      </rPr>
      <t xml:space="preserve">倍以上が健全ライン。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倍以下は危険域</t>
    </r>
  </si>
  <si>
    <r>
      <rPr>
        <sz val="10"/>
        <color rgb="FF000000"/>
        <rFont val="Arial"/>
        <family val="0"/>
        <charset val="1"/>
      </rPr>
      <t xml:space="preserve">CAC</t>
    </r>
    <r>
      <rPr>
        <sz val="10"/>
        <color rgb="FF000000"/>
        <rFont val="DejaVu Sans"/>
        <family val="2"/>
      </rPr>
      <t xml:space="preserve">回収期間（月数）</t>
    </r>
  </si>
  <si>
    <r>
      <rPr>
        <sz val="10"/>
        <color rgb="FF000000"/>
        <rFont val="Arial"/>
        <family val="0"/>
        <charset val="1"/>
      </rPr>
      <t xml:space="preserve">⚠️ 12</t>
    </r>
    <r>
      <rPr>
        <sz val="10"/>
        <color rgb="FF000000"/>
        <rFont val="DejaVu Sans"/>
        <family val="2"/>
      </rPr>
      <t xml:space="preserve">ヶ月以内が理想。長いほどキャッシュ消費が大きい</t>
    </r>
  </si>
  <si>
    <r>
      <rPr>
        <sz val="10"/>
        <color rgb="FF000000"/>
        <rFont val="DejaVu Sans"/>
        <family val="2"/>
      </rPr>
      <t xml:space="preserve">損益分岐点（年間予約数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ユーザー）</t>
    </r>
  </si>
  <si>
    <r>
      <rPr>
        <sz val="10"/>
        <color rgb="FF000000"/>
        <rFont val="DejaVu Sans"/>
        <family val="2"/>
      </rPr>
      <t xml:space="preserve">この</t>
    </r>
    <r>
      <rPr>
        <sz val="10"/>
        <color rgb="FF000000"/>
        <rFont val="DejaVu Sans"/>
        <family val="2"/>
        <charset val="1"/>
      </rPr>
      <t xml:space="preserve">N</t>
    </r>
    <r>
      <rPr>
        <sz val="10"/>
        <color rgb="FF000000"/>
        <rFont val="DejaVu Sans"/>
        <family val="2"/>
      </rPr>
      <t xml:space="preserve">回以上使えば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回収。ビジネス成立の下限</t>
    </r>
  </si>
  <si>
    <t xml:space="preserve">▍ 構造的課題の整理</t>
  </si>
  <si>
    <t xml:space="preserve">課題①：低頻度利用</t>
  </si>
  <si>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〜</t>
    </r>
    <r>
      <rPr>
        <sz val="10"/>
        <color rgb="FF000000"/>
        <rFont val="DejaVu Sans"/>
        <family val="2"/>
        <charset val="1"/>
      </rPr>
      <t xml:space="preserve">3</t>
    </r>
    <r>
      <rPr>
        <sz val="10"/>
        <color rgb="FF000000"/>
        <rFont val="DejaVu Sans"/>
        <family val="2"/>
      </rPr>
      <t xml:space="preserve">回の予約では年間収益は</t>
    </r>
    <r>
      <rPr>
        <sz val="10"/>
        <color rgb="FF000000"/>
        <rFont val="DejaVu Sans"/>
        <family val="2"/>
        <charset val="1"/>
      </rPr>
      <t xml:space="preserve">4,000</t>
    </r>
    <r>
      <rPr>
        <sz val="10"/>
        <color rgb="FF000000"/>
        <rFont val="DejaVu Sans"/>
        <family val="2"/>
      </rPr>
      <t xml:space="preserve">〜</t>
    </r>
    <r>
      <rPr>
        <sz val="10"/>
        <color rgb="FF000000"/>
        <rFont val="DejaVu Sans"/>
        <family val="2"/>
        <charset val="1"/>
      </rPr>
      <t xml:space="preserve">5,000</t>
    </r>
    <r>
      <rPr>
        <sz val="10"/>
        <color rgb="FF000000"/>
        <rFont val="DejaVu Sans"/>
        <family val="2"/>
      </rPr>
      <t xml:space="preserve">円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ユーザーにとどまる。</t>
    </r>
    <r>
      <rPr>
        <sz val="10"/>
        <color rgb="FF000000"/>
        <rFont val="DejaVu Sans"/>
        <family val="2"/>
        <charset val="1"/>
      </rPr>
      <t xml:space="preserve">LTV</t>
    </r>
    <r>
      <rPr>
        <sz val="10"/>
        <color rgb="FF000000"/>
        <rFont val="DejaVu Sans"/>
        <family val="2"/>
      </rPr>
      <t xml:space="preserve">を上げるにはリピート促進・単価向上が必要</t>
    </r>
  </si>
  <si>
    <r>
      <rPr>
        <b val="true"/>
        <sz val="10"/>
        <color rgb="FF000000"/>
        <rFont val="DejaVu Sans"/>
        <family val="2"/>
      </rPr>
      <t xml:space="preserve">課題②：</t>
    </r>
    <r>
      <rPr>
        <b val="true"/>
        <sz val="10"/>
        <color rgb="FF000000"/>
        <rFont val="DejaVu Sans"/>
        <family val="2"/>
        <charset val="1"/>
      </rPr>
      <t xml:space="preserve">CAC vs LTV</t>
    </r>
  </si>
  <si>
    <r>
      <rPr>
        <sz val="10"/>
        <color rgb="FF000000"/>
        <rFont val="Arial"/>
        <family val="0"/>
        <charset val="1"/>
      </rPr>
      <t xml:space="preserve">LTV/CAC</t>
    </r>
    <r>
      <rPr>
        <sz val="10"/>
        <color rgb="FF000000"/>
        <rFont val="DejaVu Sans"/>
        <family val="2"/>
      </rPr>
      <t xml:space="preserve">が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倍を下回る場合、広告を拡大するほど赤字が拡大する。オーガニック獲得比率が鍵</t>
    </r>
  </si>
  <si>
    <t xml:space="preserve">課題③：両サイド問題</t>
  </si>
  <si>
    <r>
      <rPr>
        <sz val="10"/>
        <color rgb="FF000000"/>
        <rFont val="DejaVu Sans"/>
        <family val="2"/>
      </rPr>
      <t xml:space="preserve">マーケットプレイスは飼い主・シッター両方を獲得する必要があり実質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は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倍。初期資本効率が悪化しやすい</t>
    </r>
  </si>
  <si>
    <t xml:space="preserve">課題④：スイッチングコスト</t>
  </si>
  <si>
    <t xml:space="preserve">飼い主とシッターが直接連絡を取り始めると離脱する。関係性を保つ機能（レポート・保険・レビュー）が重要</t>
  </si>
  <si>
    <r>
      <rPr>
        <b val="true"/>
        <sz val="13"/>
        <color rgb="FFFFFFFF"/>
        <rFont val="DejaVu Sans"/>
        <family val="2"/>
      </rPr>
      <t xml:space="preserve">📊 収益・損益試算（</t>
    </r>
    <r>
      <rPr>
        <b val="true"/>
        <sz val="13"/>
        <color rgb="FFFFFFFF"/>
        <rFont val="DejaVu Sans"/>
        <family val="2"/>
        <charset val="1"/>
      </rPr>
      <t xml:space="preserve">5</t>
    </r>
    <r>
      <rPr>
        <b val="true"/>
        <sz val="13"/>
        <color rgb="FFFFFFFF"/>
        <rFont val="DejaVu Sans"/>
        <family val="2"/>
      </rPr>
      <t xml:space="preserve">ヶ年）　単位：万円</t>
    </r>
  </si>
  <si>
    <t xml:space="preserve">指標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</si>
  <si>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</si>
  <si>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</si>
  <si>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</si>
  <si>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</si>
  <si>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</si>
  <si>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▍ ユーザー規模</t>
  </si>
  <si>
    <t xml:space="preserve">アクティブ飼い主数（人）</t>
  </si>
  <si>
    <t xml:space="preserve">登録シッター数（人）</t>
  </si>
  <si>
    <t xml:space="preserve">年間総予約件数</t>
  </si>
  <si>
    <r>
      <rPr>
        <b val="true"/>
        <sz val="10"/>
        <color rgb="FF000000"/>
        <rFont val="Arial"/>
        <family val="0"/>
        <charset val="1"/>
      </rPr>
      <t xml:space="preserve">▍ GMV</t>
    </r>
    <r>
      <rPr>
        <b val="true"/>
        <sz val="10"/>
        <color rgb="FF000000"/>
        <rFont val="DejaVu Sans"/>
        <family val="2"/>
      </rPr>
      <t xml:space="preserve">・プラットフォーム収益</t>
    </r>
  </si>
  <si>
    <r>
      <rPr>
        <sz val="10"/>
        <color rgb="FF000000"/>
        <rFont val="Arial"/>
        <family val="0"/>
        <charset val="1"/>
      </rPr>
      <t xml:space="preserve">GMV</t>
    </r>
    <r>
      <rPr>
        <sz val="10"/>
        <color rgb="FF000000"/>
        <rFont val="DejaVu Sans"/>
        <family val="2"/>
      </rPr>
      <t xml:space="preserve">（流通総額）（万円）</t>
    </r>
  </si>
  <si>
    <t xml:space="preserve">プラットフォーム収益（万円）</t>
  </si>
  <si>
    <t xml:space="preserve">  決済コスト（万円）</t>
  </si>
  <si>
    <t xml:space="preserve">ネット収益（万円）</t>
  </si>
  <si>
    <t xml:space="preserve">▍ コスト</t>
  </si>
  <si>
    <t xml:space="preserve">  広告費（万円）・月次固定上限</t>
  </si>
  <si>
    <t xml:space="preserve">  固定費（万円）</t>
  </si>
  <si>
    <t xml:space="preserve">総コスト（万円）</t>
  </si>
  <si>
    <t xml:space="preserve">▍ 損益</t>
  </si>
  <si>
    <r>
      <rPr>
        <b val="true"/>
        <sz val="10"/>
        <color rgb="FF000000"/>
        <rFont val="DejaVu Sans"/>
        <family val="2"/>
      </rPr>
      <t xml:space="preserve">営業利益（</t>
    </r>
    <r>
      <rPr>
        <b val="true"/>
        <sz val="10"/>
        <color rgb="FF000000"/>
        <rFont val="DejaVu Sans"/>
        <family val="2"/>
        <charset val="1"/>
      </rPr>
      <t xml:space="preserve">EBITDA</t>
    </r>
    <r>
      <rPr>
        <b val="true"/>
        <sz val="10"/>
        <color rgb="FF000000"/>
        <rFont val="DejaVu Sans"/>
        <family val="2"/>
      </rPr>
      <t xml:space="preserve">近似）（万円）</t>
    </r>
  </si>
  <si>
    <r>
      <rPr>
        <sz val="10"/>
        <color rgb="FF000000"/>
        <rFont val="DejaVu Sans"/>
        <family val="2"/>
      </rPr>
      <t xml:space="preserve">利益率（</t>
    </r>
    <r>
      <rPr>
        <sz val="10"/>
        <color rgb="FF000000"/>
        <rFont val="DejaVu Sans"/>
        <family val="2"/>
        <charset val="1"/>
      </rPr>
      <t xml:space="preserve">%</t>
    </r>
    <r>
      <rPr>
        <sz val="10"/>
        <color rgb="FF000000"/>
        <rFont val="DejaVu Sans"/>
        <family val="2"/>
      </rPr>
      <t xml:space="preserve">）</t>
    </r>
  </si>
  <si>
    <t xml:space="preserve">累積損益（万円）</t>
  </si>
  <si>
    <r>
      <rPr>
        <i val="true"/>
        <sz val="9"/>
        <color rgb="FF595959"/>
        <rFont val="DejaVu Sans"/>
        <family val="2"/>
      </rPr>
      <t xml:space="preserve">※ 黄色セルは前提条件シートの変更可能な仮定が直接影響する。前提条件のユーザー数・成長率・</t>
    </r>
    <r>
      <rPr>
        <i val="true"/>
        <sz val="9"/>
        <color rgb="FF595959"/>
        <rFont val="DejaVu Sans"/>
        <family val="2"/>
        <charset val="1"/>
      </rPr>
      <t xml:space="preserve">CAC</t>
    </r>
    <r>
      <rPr>
        <i val="true"/>
        <sz val="9"/>
        <color rgb="FF595959"/>
        <rFont val="DejaVu Sans"/>
        <family val="2"/>
      </rPr>
      <t xml:space="preserve">等を変えると自動更新されます。</t>
    </r>
  </si>
  <si>
    <r>
      <rPr>
        <b val="true"/>
        <sz val="13"/>
        <color rgb="FFFFFFFF"/>
        <rFont val="DejaVu Sans"/>
        <family val="2"/>
      </rPr>
      <t xml:space="preserve">🎯 シナリオ分析（</t>
    </r>
    <r>
      <rPr>
        <b val="true"/>
        <sz val="13"/>
        <color rgb="FFFFFFFF"/>
        <rFont val="DejaVu Sans"/>
        <family val="2"/>
        <charset val="1"/>
      </rPr>
      <t xml:space="preserve">Year 5</t>
    </r>
    <r>
      <rPr>
        <b val="true"/>
        <sz val="13"/>
        <color rgb="FFFFFFFF"/>
        <rFont val="DejaVu Sans"/>
        <family val="2"/>
      </rPr>
      <t xml:space="preserve">時点）　単位：万円</t>
    </r>
  </si>
  <si>
    <t xml:space="preserve">悲観シナリオ</t>
  </si>
  <si>
    <t xml:space="preserve">ベースシナリオ</t>
  </si>
  <si>
    <t xml:space="preserve">楽観シナリオ</t>
  </si>
  <si>
    <t xml:space="preserve">備考</t>
  </si>
  <si>
    <r>
      <rPr>
        <b val="true"/>
        <sz val="10"/>
        <color rgb="FF000000"/>
        <rFont val="DejaVu Sans"/>
        <family val="2"/>
      </rPr>
      <t xml:space="preserve">▍ シナリオ別前提（</t>
    </r>
    <r>
      <rPr>
        <b val="true"/>
        <sz val="10"/>
        <color rgb="FF000000"/>
        <rFont val="DejaVu Sans"/>
        <family val="2"/>
        <charset val="1"/>
      </rPr>
      <t xml:space="preserve">Y5</t>
    </r>
    <r>
      <rPr>
        <b val="true"/>
        <sz val="10"/>
        <color rgb="FF000000"/>
        <rFont val="DejaVu Sans"/>
        <family val="2"/>
      </rPr>
      <t xml:space="preserve">時点）</t>
    </r>
  </si>
  <si>
    <r>
      <rPr>
        <sz val="10"/>
        <color rgb="FF000000"/>
        <rFont val="Arial"/>
        <family val="0"/>
        <charset val="1"/>
      </rPr>
      <t xml:space="preserve">Y5 </t>
    </r>
    <r>
      <rPr>
        <sz val="10"/>
        <color rgb="FF000000"/>
        <rFont val="DejaVu Sans"/>
        <family val="2"/>
      </rPr>
      <t xml:space="preserve">アクティブ飼い主数（人）</t>
    </r>
  </si>
  <si>
    <t xml:space="preserve">悲：成長鈍化  ベース：順調  楽：口コミ爆発</t>
  </si>
  <si>
    <r>
      <rPr>
        <sz val="10"/>
        <color rgb="FF000000"/>
        <rFont val="DejaVu Sans"/>
        <family val="2"/>
      </rPr>
      <t xml:space="preserve">年間利用回数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人</t>
    </r>
  </si>
  <si>
    <t xml:space="preserve">悲：旅行自粛  ベース：標準  楽：デイケア等追加</t>
  </si>
  <si>
    <t xml:space="preserve">平均予約単価（円）</t>
  </si>
  <si>
    <t xml:space="preserve">悲：値下げ圧力  楽：プレミアム化</t>
  </si>
  <si>
    <t xml:space="preserve">手数料率</t>
  </si>
  <si>
    <t xml:space="preserve">悲：競争激化で低下  楽：値上げ成功</t>
  </si>
  <si>
    <r>
      <rPr>
        <sz val="10"/>
        <color rgb="FF000000"/>
        <rFont val="DejaVu Sans"/>
        <family val="2"/>
      </rPr>
      <t xml:space="preserve">ブレンド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（円）</t>
    </r>
  </si>
  <si>
    <t xml:space="preserve">悲：広告依存  ベース：均衡  楽：有機成長</t>
  </si>
  <si>
    <r>
      <rPr>
        <b val="true"/>
        <sz val="10"/>
        <color rgb="FF000000"/>
        <rFont val="Arial"/>
        <family val="0"/>
        <charset val="1"/>
      </rPr>
      <t xml:space="preserve">▍ Y5 </t>
    </r>
    <r>
      <rPr>
        <b val="true"/>
        <sz val="10"/>
        <color rgb="FF000000"/>
        <rFont val="DejaVu Sans"/>
        <family val="2"/>
      </rPr>
      <t xml:space="preserve">試算結果</t>
    </r>
  </si>
  <si>
    <r>
      <rPr>
        <b val="true"/>
        <sz val="10"/>
        <color rgb="FF000000"/>
        <rFont val="Arial"/>
        <family val="0"/>
        <charset val="1"/>
      </rPr>
      <t xml:space="preserve">GMV</t>
    </r>
    <r>
      <rPr>
        <b val="true"/>
        <sz val="10"/>
        <color rgb="FF000000"/>
        <rFont val="DejaVu Sans"/>
        <family val="2"/>
      </rPr>
      <t xml:space="preserve">（万円）</t>
    </r>
  </si>
  <si>
    <t xml:space="preserve">決済コスト控除後収益（万円）</t>
  </si>
  <si>
    <t xml:space="preserve">固定費（万円）</t>
  </si>
  <si>
    <t xml:space="preserve">マーケ費（万円）</t>
  </si>
  <si>
    <r>
      <rPr>
        <b val="true"/>
        <sz val="10"/>
        <color rgb="FF000000"/>
        <rFont val="Arial"/>
        <family val="0"/>
        <charset val="1"/>
      </rPr>
      <t xml:space="preserve">EBITDA</t>
    </r>
    <r>
      <rPr>
        <b val="true"/>
        <sz val="10"/>
        <color rgb="FF000000"/>
        <rFont val="DejaVu Sans"/>
        <family val="2"/>
      </rPr>
      <t xml:space="preserve">（万円）</t>
    </r>
  </si>
  <si>
    <t xml:space="preserve">EBITDA margin</t>
  </si>
  <si>
    <r>
      <rPr>
        <sz val="10"/>
        <color rgb="FF000000"/>
        <rFont val="Arial"/>
        <family val="0"/>
        <charset val="1"/>
      </rPr>
      <t xml:space="preserve">LTV/CAC</t>
    </r>
    <r>
      <rPr>
        <sz val="10"/>
        <color rgb="FF000000"/>
        <rFont val="DejaVu Sans"/>
        <family val="2"/>
      </rPr>
      <t xml:space="preserve">倍率</t>
    </r>
  </si>
  <si>
    <t xml:space="preserve">▍ シナリオ解説・戦略示唆</t>
  </si>
  <si>
    <r>
      <rPr>
        <sz val="10"/>
        <color rgb="FF000000"/>
        <rFont val="DejaVu Sans"/>
        <family val="2"/>
      </rPr>
      <t xml:space="preserve">広告なしでの成長が期待を下回り、</t>
    </r>
    <r>
      <rPr>
        <sz val="10"/>
        <color rgb="FF000000"/>
        <rFont val="DejaVu Sans"/>
        <family val="2"/>
        <charset val="1"/>
      </rPr>
      <t xml:space="preserve">Y5</t>
    </r>
    <r>
      <rPr>
        <sz val="10"/>
        <color rgb="FF000000"/>
        <rFont val="DejaVu Sans"/>
        <family val="2"/>
      </rPr>
      <t xml:space="preserve">でも飼い主</t>
    </r>
    <r>
      <rPr>
        <sz val="10"/>
        <color rgb="FF000000"/>
        <rFont val="DejaVu Sans"/>
        <family val="2"/>
        <charset val="1"/>
      </rPr>
      <t xml:space="preserve">3,000</t>
    </r>
    <r>
      <rPr>
        <sz val="10"/>
        <color rgb="FF000000"/>
        <rFont val="DejaVu Sans"/>
        <family val="2"/>
      </rPr>
      <t xml:space="preserve">人にとどまる。
固定費は低いため単月赤字にはならないが、スケールせず事業継続の意義が薄れる。
ピボットか</t>
    </r>
    <r>
      <rPr>
        <sz val="10"/>
        <color rgb="FF000000"/>
        <rFont val="DejaVu Sans"/>
        <family val="2"/>
        <charset val="1"/>
      </rPr>
      <t xml:space="preserve">SNS</t>
    </r>
    <r>
      <rPr>
        <sz val="10"/>
        <color rgb="FF000000"/>
        <rFont val="DejaVu Sans"/>
        <family val="2"/>
      </rPr>
      <t xml:space="preserve">戦略の抜本見直しが必要。</t>
    </r>
  </si>
  <si>
    <r>
      <rPr>
        <sz val="10"/>
        <color rgb="FF000000"/>
        <rFont val="Arial"/>
        <family val="0"/>
        <charset val="1"/>
      </rPr>
      <t xml:space="preserve">Instagram</t>
    </r>
    <r>
      <rPr>
        <sz val="10"/>
        <color rgb="FF000000"/>
        <rFont val="DejaVu Sans"/>
        <family val="2"/>
      </rPr>
      <t xml:space="preserve">・口コミのフライホイールが機能し、</t>
    </r>
    <r>
      <rPr>
        <sz val="10"/>
        <color rgb="FF000000"/>
        <rFont val="Arial"/>
        <family val="0"/>
        <charset val="1"/>
      </rPr>
      <t xml:space="preserve">Y5</t>
    </r>
    <r>
      <rPr>
        <sz val="10"/>
        <color rgb="FF000000"/>
        <rFont val="DejaVu Sans"/>
        <family val="2"/>
      </rPr>
      <t xml:space="preserve">で飼い主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万人。
広告費は月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万円固定のまま、</t>
    </r>
    <r>
      <rPr>
        <sz val="10"/>
        <color rgb="FF000000"/>
        <rFont val="Arial"/>
        <family val="0"/>
        <charset val="1"/>
      </rPr>
      <t xml:space="preserve">LTV/CAC</t>
    </r>
    <r>
      <rPr>
        <sz val="10"/>
        <color rgb="FF000000"/>
        <rFont val="DejaVu Sans"/>
        <family val="2"/>
      </rPr>
      <t xml:space="preserve">改善で</t>
    </r>
    <r>
      <rPr>
        <sz val="10"/>
        <color rgb="FF000000"/>
        <rFont val="Arial"/>
        <family val="0"/>
        <charset val="1"/>
      </rPr>
      <t xml:space="preserve">Y2</t>
    </r>
    <r>
      <rPr>
        <sz val="10"/>
        <color rgb="FF000000"/>
        <rFont val="DejaVu Sans"/>
        <family val="2"/>
      </rPr>
      <t xml:space="preserve">から累積黒字化。
</t>
    </r>
    <r>
      <rPr>
        <sz val="10"/>
        <color rgb="FF000000"/>
        <rFont val="Arial"/>
        <family val="0"/>
        <charset val="1"/>
      </rPr>
      <t xml:space="preserve">Y3</t>
    </r>
    <r>
      <rPr>
        <sz val="10"/>
        <color rgb="FF000000"/>
        <rFont val="DejaVu Sans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DejaVu Sans"/>
        <family val="2"/>
      </rPr>
      <t xml:space="preserve">に余剰キャッシュが貯まり、そこで初めて広告投資 </t>
    </r>
    <r>
      <rPr>
        <sz val="10"/>
        <color rgb="FF000000"/>
        <rFont val="Arial"/>
        <family val="0"/>
        <charset val="1"/>
      </rPr>
      <t xml:space="preserve">or </t>
    </r>
    <r>
      <rPr>
        <sz val="10"/>
        <color rgb="FF000000"/>
        <rFont val="DejaVu Sans"/>
        <family val="2"/>
      </rPr>
      <t xml:space="preserve">資金調達の選択肢が生まれる。</t>
    </r>
  </si>
  <si>
    <r>
      <rPr>
        <sz val="10"/>
        <color rgb="FF000000"/>
        <rFont val="DejaVu Sans"/>
        <family val="2"/>
      </rPr>
      <t xml:space="preserve">ペットオーナーのバイラル紹介が連鎖し、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実質</t>
    </r>
    <r>
      <rPr>
        <sz val="10"/>
        <color rgb="FF000000"/>
        <rFont val="DejaVu Sans"/>
        <family val="2"/>
        <charset val="1"/>
      </rPr>
      <t xml:space="preserve">800</t>
    </r>
    <r>
      <rPr>
        <sz val="10"/>
        <color rgb="FF000000"/>
        <rFont val="DejaVu Sans"/>
        <family val="2"/>
      </rPr>
      <t xml:space="preserve">円以下を実現。
広告費ほぼゼロのまま</t>
    </r>
    <r>
      <rPr>
        <sz val="10"/>
        <color rgb="FF000000"/>
        <rFont val="DejaVu Sans"/>
        <family val="2"/>
        <charset val="1"/>
      </rPr>
      <t xml:space="preserve">8</t>
    </r>
    <r>
      <rPr>
        <sz val="10"/>
        <color rgb="FF000000"/>
        <rFont val="DejaVu Sans"/>
        <family val="2"/>
      </rPr>
      <t xml:space="preserve">万人獲得。</t>
    </r>
    <r>
      <rPr>
        <sz val="10"/>
        <color rgb="FF000000"/>
        <rFont val="DejaVu Sans"/>
        <family val="2"/>
        <charset val="1"/>
      </rPr>
      <t xml:space="preserve">Y5 EBITDA</t>
    </r>
    <r>
      <rPr>
        <sz val="10"/>
        <color rgb="FF000000"/>
        <rFont val="DejaVu Sans"/>
        <family val="2"/>
      </rPr>
      <t xml:space="preserve">数千万円レベル。
「広告なし＝低</t>
    </r>
    <r>
      <rPr>
        <sz val="10"/>
        <color rgb="FF000000"/>
        <rFont val="DejaVu Sans"/>
        <family val="2"/>
        <charset val="1"/>
      </rPr>
      <t xml:space="preserve">CAC</t>
    </r>
    <r>
      <rPr>
        <sz val="10"/>
        <color rgb="FF000000"/>
        <rFont val="DejaVu Sans"/>
        <family val="2"/>
      </rPr>
      <t xml:space="preserve">」の構造が最大限に機能したケース。</t>
    </r>
  </si>
  <si>
    <t xml:space="preserve">共通の注意点</t>
  </si>
  <si>
    <r>
      <rPr>
        <sz val="10"/>
        <color rgb="FF000000"/>
        <rFont val="DejaVu Sans"/>
        <family val="2"/>
      </rPr>
      <t xml:space="preserve">広告非依存モデルの最大リスクは「成長速度のコントロール不能」。
遅すぎると競合に先行される可能性がある。</t>
    </r>
    <r>
      <rPr>
        <sz val="10"/>
        <color rgb="FF000000"/>
        <rFont val="DejaVu Sans"/>
        <family val="2"/>
        <charset val="1"/>
      </rPr>
      <t xml:space="preserve">Y2</t>
    </r>
    <r>
      <rPr>
        <sz val="10"/>
        <color rgb="FF000000"/>
        <rFont val="DejaVu Sans"/>
        <family val="2"/>
      </rPr>
      <t xml:space="preserve">〜</t>
    </r>
    <r>
      <rPr>
        <sz val="10"/>
        <color rgb="FF000000"/>
        <rFont val="DejaVu Sans"/>
        <family val="2"/>
        <charset val="1"/>
      </rPr>
      <t xml:space="preserve">Y3</t>
    </r>
    <r>
      <rPr>
        <sz val="10"/>
        <color rgb="FF000000"/>
        <rFont val="DejaVu Sans"/>
        <family val="2"/>
      </rPr>
      <t xml:space="preserve">の累積キャッシュを見ながら
月</t>
    </r>
    <r>
      <rPr>
        <sz val="10"/>
        <color rgb="FF000000"/>
        <rFont val="DejaVu Sans"/>
        <family val="2"/>
        <charset val="1"/>
      </rPr>
      <t xml:space="preserve">3</t>
    </r>
    <r>
      <rPr>
        <sz val="10"/>
        <color rgb="FF000000"/>
        <rFont val="DejaVu Sans"/>
        <family val="2"/>
      </rPr>
      <t xml:space="preserve">万→</t>
    </r>
    <r>
      <rPr>
        <sz val="10"/>
        <color rgb="FF000000"/>
        <rFont val="DejaVu Sans"/>
        <family val="2"/>
        <charset val="1"/>
      </rPr>
      <t xml:space="preserve">10</t>
    </r>
    <r>
      <rPr>
        <sz val="10"/>
        <color rgb="FF000000"/>
        <rFont val="DejaVu Sans"/>
        <family val="2"/>
      </rPr>
      <t xml:space="preserve">万→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万と段階的に広告予算を引き上げる戦略が現実的。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</si>
</sst>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"/>
    <numFmt numFmtId="167" formatCode="0.0"/>
    <numFmt numFmtId="168" formatCode="0.0\x;\(0.0&quot;x)&quot;;\-"/>
    <numFmt numFmtId="169" formatCode="#,##0;\(#,##0\);\-"/>
    <numFmt numFmtId="170" formatCode="0.0\x"/>
    <numFmt numFmtId="171" formatCode="0.0&quot;ヶ月&quot;;\(0.0&quot;ヶ月)&quot;;\-"/>
    <numFmt numFmtId="172" formatCode="0.0\回;\(0.0&quot;回)&quot;;\-"/>
    <numFmt numFmtId="173" formatCode="0.0%;\(0.0%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DejaVu Sans"/>
      <family val="2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DejaVu Sans"/>
      <family val="2"/>
    </font>
    <font>
      <i val="true"/>
      <sz val="9"/>
      <color rgb="FF595959"/>
      <name val="DejaVu Sans"/>
      <family val="2"/>
    </font>
    <font>
      <i val="true"/>
      <sz val="9"/>
      <color rgb="FF595959"/>
      <name val="DejaVu Sans"/>
      <family val="2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DejaVu Sans"/>
      <family val="2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DejaVu Sans"/>
      <family val="2"/>
      <charset val="1"/>
    </font>
    <font>
      <b val="true"/>
      <sz val="11"/>
      <name val="Arial"/>
      <family val="0"/>
      <charset val="1"/>
    </font>
    <font>
      <b val="true"/>
      <sz val="11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595959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8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3" customFormat="false" ht="21.75" hidden="false" customHeight="true" outlineLevel="0" collapsed="false">
      <c r="A3" s="3" t="s">
        <v>1</v>
      </c>
      <c r="B3" s="3"/>
      <c r="C3" s="3"/>
      <c r="D3" s="3"/>
    </row>
    <row r="4" customFormat="false" ht="19.5" hidden="false" customHeight="true" outlineLevel="0" collapsed="false">
      <c r="A4" s="4" t="s">
        <v>2</v>
      </c>
      <c r="B4" s="5" t="n">
        <v>10000</v>
      </c>
      <c r="C4" s="6" t="s">
        <v>3</v>
      </c>
      <c r="D4" s="7" t="s">
        <v>4</v>
      </c>
    </row>
    <row r="5" customFormat="false" ht="19.5" hidden="false" customHeight="true" outlineLevel="0" collapsed="false">
      <c r="A5" s="8" t="s">
        <v>5</v>
      </c>
      <c r="B5" s="9" t="n">
        <v>0.15</v>
      </c>
      <c r="C5" s="6" t="s">
        <v>6</v>
      </c>
      <c r="D5" s="7" t="s">
        <v>7</v>
      </c>
    </row>
    <row r="6" customFormat="false" ht="19.5" hidden="false" customHeight="true" outlineLevel="0" collapsed="false">
      <c r="A6" s="7" t="s">
        <v>8</v>
      </c>
      <c r="B6" s="10" t="n">
        <f aca="false">B4*B5</f>
        <v>1500</v>
      </c>
      <c r="C6" s="6" t="s">
        <v>3</v>
      </c>
      <c r="D6" s="11" t="s">
        <v>9</v>
      </c>
    </row>
    <row r="7" customFormat="false" ht="19.5" hidden="false" customHeight="true" outlineLevel="0" collapsed="false">
      <c r="A7" s="8" t="s">
        <v>10</v>
      </c>
      <c r="B7" s="9" t="n">
        <v>0.031</v>
      </c>
      <c r="C7" s="6" t="s">
        <v>6</v>
      </c>
      <c r="D7" s="7" t="s">
        <v>11</v>
      </c>
    </row>
    <row r="8" customFormat="false" ht="19.5" hidden="false" customHeight="true" outlineLevel="0" collapsed="false">
      <c r="A8" s="4" t="s">
        <v>12</v>
      </c>
      <c r="B8" s="10" t="n">
        <f aca="false">B6*(1-B7)</f>
        <v>1453.5</v>
      </c>
      <c r="C8" s="6" t="s">
        <v>3</v>
      </c>
      <c r="D8" s="11" t="s">
        <v>13</v>
      </c>
    </row>
    <row r="9" customFormat="false" ht="21.75" hidden="false" customHeight="true" outlineLevel="0" collapsed="false">
      <c r="A9" s="3" t="s">
        <v>14</v>
      </c>
      <c r="B9" s="3"/>
      <c r="C9" s="3"/>
      <c r="D9" s="3"/>
    </row>
    <row r="10" customFormat="false" ht="19.5" hidden="false" customHeight="true" outlineLevel="0" collapsed="false">
      <c r="A10" s="4" t="s">
        <v>15</v>
      </c>
      <c r="B10" s="12" t="n">
        <v>2.5</v>
      </c>
      <c r="C10" s="6" t="s">
        <v>16</v>
      </c>
      <c r="D10" s="4" t="s">
        <v>17</v>
      </c>
    </row>
    <row r="11" customFormat="false" ht="19.5" hidden="false" customHeight="true" outlineLevel="0" collapsed="false">
      <c r="A11" s="8" t="s">
        <v>18</v>
      </c>
      <c r="B11" s="9" t="n">
        <v>0.3</v>
      </c>
      <c r="C11" s="6" t="s">
        <v>19</v>
      </c>
      <c r="D11" s="4" t="s">
        <v>20</v>
      </c>
    </row>
    <row r="12" customFormat="false" ht="19.5" hidden="false" customHeight="true" outlineLevel="0" collapsed="false">
      <c r="A12" s="4" t="s">
        <v>21</v>
      </c>
      <c r="B12" s="13" t="n">
        <f aca="false">IFERROR(1/B11,0)</f>
        <v>3.33333333333333</v>
      </c>
      <c r="C12" s="6" t="s">
        <v>22</v>
      </c>
      <c r="D12" s="11" t="s">
        <v>23</v>
      </c>
    </row>
    <row r="13" customFormat="false" ht="19.5" hidden="false" customHeight="true" outlineLevel="0" collapsed="false">
      <c r="A13" s="8" t="s">
        <v>24</v>
      </c>
      <c r="B13" s="10" t="n">
        <f aca="false">B7*B10*B12</f>
        <v>0.258333333333333</v>
      </c>
      <c r="C13" s="6" t="s">
        <v>3</v>
      </c>
      <c r="D13" s="11" t="s">
        <v>25</v>
      </c>
    </row>
    <row r="14" customFormat="false" ht="21.75" hidden="false" customHeight="true" outlineLevel="0" collapsed="false">
      <c r="A14" s="3" t="s">
        <v>26</v>
      </c>
      <c r="B14" s="3"/>
      <c r="C14" s="3"/>
      <c r="D14" s="3"/>
    </row>
    <row r="15" customFormat="false" ht="19.5" hidden="false" customHeight="true" outlineLevel="0" collapsed="false">
      <c r="A15" s="4" t="s">
        <v>27</v>
      </c>
      <c r="B15" s="5" t="n">
        <v>1500</v>
      </c>
      <c r="C15" s="6" t="s">
        <v>3</v>
      </c>
      <c r="D15" s="7" t="s">
        <v>28</v>
      </c>
    </row>
    <row r="16" customFormat="false" ht="19.5" hidden="false" customHeight="true" outlineLevel="0" collapsed="false">
      <c r="A16" s="8" t="s">
        <v>29</v>
      </c>
      <c r="B16" s="5" t="n">
        <v>5000</v>
      </c>
      <c r="C16" s="6" t="s">
        <v>3</v>
      </c>
      <c r="D16" s="7" t="s">
        <v>30</v>
      </c>
    </row>
    <row r="17" customFormat="false" ht="19.5" hidden="false" customHeight="true" outlineLevel="0" collapsed="false">
      <c r="A17" s="4" t="s">
        <v>31</v>
      </c>
      <c r="B17" s="5" t="n">
        <v>3000</v>
      </c>
      <c r="C17" s="6" t="s">
        <v>3</v>
      </c>
      <c r="D17" s="4" t="s">
        <v>32</v>
      </c>
    </row>
    <row r="18" customFormat="false" ht="19.5" hidden="false" customHeight="true" outlineLevel="0" collapsed="false">
      <c r="A18" s="8" t="s">
        <v>33</v>
      </c>
      <c r="B18" s="5" t="n">
        <v>2000</v>
      </c>
      <c r="C18" s="6" t="s">
        <v>3</v>
      </c>
      <c r="D18" s="7" t="s">
        <v>34</v>
      </c>
    </row>
    <row r="19" customFormat="false" ht="19.5" hidden="false" customHeight="true" outlineLevel="0" collapsed="false">
      <c r="A19" s="4" t="s">
        <v>35</v>
      </c>
      <c r="B19" s="10" t="n">
        <f aca="false">B17+B18</f>
        <v>5000</v>
      </c>
      <c r="C19" s="6" t="s">
        <v>3</v>
      </c>
      <c r="D19" s="11" t="s">
        <v>36</v>
      </c>
    </row>
    <row r="20" customFormat="false" ht="19.5" hidden="false" customHeight="true" outlineLevel="0" collapsed="false">
      <c r="A20" s="14" t="s">
        <v>37</v>
      </c>
      <c r="B20" s="15" t="n">
        <f aca="false">IFERROR(B13/B17,0)</f>
        <v>8.61111111111111E-005</v>
      </c>
      <c r="C20" s="6" t="s">
        <v>38</v>
      </c>
      <c r="D20" s="11" t="s">
        <v>39</v>
      </c>
    </row>
    <row r="21" customFormat="false" ht="21.75" hidden="false" customHeight="true" outlineLevel="0" collapsed="false">
      <c r="A21" s="3" t="s">
        <v>40</v>
      </c>
      <c r="B21" s="3"/>
      <c r="C21" s="3"/>
      <c r="D21" s="3"/>
    </row>
    <row r="22" customFormat="false" ht="19.5" hidden="false" customHeight="true" outlineLevel="0" collapsed="false">
      <c r="A22" s="4" t="s">
        <v>41</v>
      </c>
      <c r="B22" s="5" t="n">
        <v>0</v>
      </c>
      <c r="C22" s="6" t="s">
        <v>42</v>
      </c>
      <c r="D22" s="11" t="s">
        <v>43</v>
      </c>
    </row>
    <row r="23" customFormat="false" ht="19.5" hidden="false" customHeight="true" outlineLevel="0" collapsed="false">
      <c r="A23" s="8" t="s">
        <v>44</v>
      </c>
      <c r="B23" s="5" t="n">
        <v>0</v>
      </c>
      <c r="C23" s="6" t="s">
        <v>42</v>
      </c>
      <c r="D23" s="4" t="s">
        <v>45</v>
      </c>
    </row>
    <row r="24" customFormat="false" ht="19.5" hidden="false" customHeight="true" outlineLevel="0" collapsed="false">
      <c r="A24" s="4" t="s">
        <v>46</v>
      </c>
      <c r="B24" s="16" t="n">
        <v>7000</v>
      </c>
      <c r="C24" s="6" t="s">
        <v>42</v>
      </c>
      <c r="D24" s="7" t="s">
        <v>47</v>
      </c>
    </row>
    <row r="25" customFormat="false" ht="19.5" hidden="false" customHeight="true" outlineLevel="0" collapsed="false">
      <c r="A25" s="8" t="s">
        <v>48</v>
      </c>
      <c r="B25" s="17" t="n">
        <v>0</v>
      </c>
      <c r="C25" s="6" t="s">
        <v>42</v>
      </c>
      <c r="D25" s="4" t="s">
        <v>49</v>
      </c>
    </row>
    <row r="26" customFormat="false" ht="19.5" hidden="false" customHeight="true" outlineLevel="0" collapsed="false">
      <c r="A26" s="4" t="s">
        <v>50</v>
      </c>
      <c r="B26" s="17" t="n">
        <v>8000</v>
      </c>
      <c r="C26" s="6" t="s">
        <v>42</v>
      </c>
      <c r="D26" s="4" t="s">
        <v>51</v>
      </c>
    </row>
    <row r="27" customFormat="false" ht="19.5" hidden="false" customHeight="true" outlineLevel="0" collapsed="false">
      <c r="A27" s="18" t="s">
        <v>52</v>
      </c>
      <c r="B27" s="10" t="n">
        <f aca="false">SUM(B22:B26)</f>
        <v>15000</v>
      </c>
      <c r="C27" s="6" t="s">
        <v>42</v>
      </c>
      <c r="D27" s="11" t="s">
        <v>53</v>
      </c>
    </row>
    <row r="28" customFormat="false" ht="19.5" hidden="false" customHeight="true" outlineLevel="0" collapsed="false">
      <c r="A28" s="19" t="s">
        <v>54</v>
      </c>
      <c r="B28" s="10" t="n">
        <f aca="false">B27*12</f>
        <v>180000</v>
      </c>
      <c r="C28" s="6" t="s">
        <v>55</v>
      </c>
      <c r="D28" s="11" t="s">
        <v>56</v>
      </c>
    </row>
    <row r="29" customFormat="false" ht="21.75" hidden="false" customHeight="true" outlineLevel="0" collapsed="false">
      <c r="A29" s="3" t="s">
        <v>57</v>
      </c>
      <c r="B29" s="3"/>
      <c r="C29" s="3"/>
      <c r="D29" s="3"/>
    </row>
    <row r="30" customFormat="false" ht="19.5" hidden="false" customHeight="true" outlineLevel="0" collapsed="false">
      <c r="A30" s="4" t="s">
        <v>58</v>
      </c>
      <c r="B30" s="20" t="n">
        <v>300</v>
      </c>
      <c r="C30" s="6" t="s">
        <v>59</v>
      </c>
      <c r="D30" s="4" t="s">
        <v>60</v>
      </c>
    </row>
    <row r="31" customFormat="false" ht="19.5" hidden="false" customHeight="true" outlineLevel="0" collapsed="false">
      <c r="A31" s="8" t="s">
        <v>61</v>
      </c>
      <c r="B31" s="21" t="n">
        <v>1.3</v>
      </c>
      <c r="C31" s="6" t="s">
        <v>38</v>
      </c>
      <c r="D31" s="11" t="s">
        <v>62</v>
      </c>
    </row>
    <row r="32" customFormat="false" ht="19.5" hidden="false" customHeight="true" outlineLevel="0" collapsed="false">
      <c r="A32" s="4" t="s">
        <v>63</v>
      </c>
      <c r="B32" s="21" t="n">
        <v>1.5</v>
      </c>
      <c r="C32" s="6" t="s">
        <v>38</v>
      </c>
      <c r="D32" s="11" t="s">
        <v>64</v>
      </c>
    </row>
    <row r="33" customFormat="false" ht="19.5" hidden="false" customHeight="true" outlineLevel="0" collapsed="false">
      <c r="A33" s="8" t="s">
        <v>65</v>
      </c>
      <c r="B33" s="21" t="n">
        <v>1.5</v>
      </c>
      <c r="C33" s="6" t="s">
        <v>38</v>
      </c>
      <c r="D33" s="11" t="s">
        <v>66</v>
      </c>
    </row>
    <row r="34" customFormat="false" ht="19.5" hidden="false" customHeight="true" outlineLevel="0" collapsed="false">
      <c r="A34" s="4" t="s">
        <v>67</v>
      </c>
      <c r="B34" s="21" t="n">
        <v>1.3</v>
      </c>
      <c r="C34" s="6" t="s">
        <v>38</v>
      </c>
      <c r="D34" s="11" t="s">
        <v>68</v>
      </c>
    </row>
    <row r="35" customFormat="false" ht="19.5" hidden="false" customHeight="true" outlineLevel="0" collapsed="false">
      <c r="A35" s="8" t="s">
        <v>69</v>
      </c>
      <c r="B35" s="20" t="n">
        <v>30000</v>
      </c>
      <c r="C35" s="6" t="s">
        <v>42</v>
      </c>
      <c r="D35" s="11" t="s">
        <v>70</v>
      </c>
    </row>
    <row r="37" customFormat="false" ht="11.25" hidden="false" customHeight="true" outlineLevel="0" collapsed="false">
      <c r="A37" s="22" t="s">
        <v>71</v>
      </c>
      <c r="B37" s="22"/>
      <c r="C37" s="22"/>
      <c r="D37" s="22"/>
    </row>
  </sheetData>
  <mergeCells count="7">
    <mergeCell ref="A1:D1"/>
    <mergeCell ref="A3:D3"/>
    <mergeCell ref="A9:D9"/>
    <mergeCell ref="A14:D14"/>
    <mergeCell ref="A21:D21"/>
    <mergeCell ref="A29:D29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38"/>
  </cols>
  <sheetData>
    <row r="1" customFormat="false" ht="30" hidden="false" customHeight="true" outlineLevel="0" collapsed="false">
      <c r="A1" s="23" t="s">
        <v>72</v>
      </c>
      <c r="B1" s="23"/>
      <c r="C1" s="23"/>
    </row>
    <row r="3" customFormat="false" ht="21.75" hidden="false" customHeight="true" outlineLevel="0" collapsed="false">
      <c r="A3" s="3" t="s">
        <v>73</v>
      </c>
      <c r="B3" s="3"/>
      <c r="C3" s="3"/>
    </row>
    <row r="4" customFormat="false" ht="19.5" hidden="false" customHeight="true" outlineLevel="0" collapsed="false">
      <c r="A4" s="4" t="s">
        <v>74</v>
      </c>
      <c r="B4" s="24" t="n">
        <f aca="false">前提条件!B4</f>
        <v>10000</v>
      </c>
      <c r="C4" s="4"/>
    </row>
    <row r="5" customFormat="false" ht="19.5" hidden="false" customHeight="true" outlineLevel="0" collapsed="false">
      <c r="A5" s="8" t="s">
        <v>75</v>
      </c>
      <c r="B5" s="25" t="n">
        <f aca="false">前提条件!B5</f>
        <v>0.15</v>
      </c>
      <c r="C5" s="4"/>
    </row>
    <row r="6" customFormat="false" ht="19.5" hidden="false" customHeight="true" outlineLevel="0" collapsed="false">
      <c r="A6" s="4" t="s">
        <v>76</v>
      </c>
      <c r="B6" s="24" t="n">
        <f aca="false">前提条件!B6</f>
        <v>1500</v>
      </c>
      <c r="C6" s="4"/>
    </row>
    <row r="7" customFormat="false" ht="19.5" hidden="false" customHeight="true" outlineLevel="0" collapsed="false">
      <c r="A7" s="8" t="s">
        <v>77</v>
      </c>
      <c r="B7" s="25" t="n">
        <f aca="false">前提条件!B7</f>
        <v>0.031</v>
      </c>
      <c r="C7" s="4"/>
    </row>
    <row r="8" customFormat="false" ht="19.5" hidden="false" customHeight="true" outlineLevel="0" collapsed="false">
      <c r="A8" s="4" t="s">
        <v>78</v>
      </c>
      <c r="B8" s="24" t="n">
        <f aca="false">前提条件!B7</f>
        <v>0.031</v>
      </c>
      <c r="C8" s="4" t="s">
        <v>79</v>
      </c>
    </row>
    <row r="9" customFormat="false" ht="19.5" hidden="false" customHeight="true" outlineLevel="0" collapsed="false">
      <c r="A9" s="8" t="s">
        <v>80</v>
      </c>
      <c r="B9" s="26" t="n">
        <f aca="false">前提条件!B10</f>
        <v>2.5</v>
      </c>
      <c r="C9" s="4"/>
    </row>
    <row r="10" customFormat="false" ht="19.5" hidden="false" customHeight="true" outlineLevel="0" collapsed="false">
      <c r="A10" s="4" t="s">
        <v>81</v>
      </c>
      <c r="B10" s="24" t="n">
        <f aca="false">B8*B9</f>
        <v>0.0775</v>
      </c>
      <c r="C10" s="7" t="s">
        <v>82</v>
      </c>
    </row>
    <row r="11" customFormat="false" ht="19.5" hidden="false" customHeight="true" outlineLevel="0" collapsed="false">
      <c r="A11" s="8" t="s">
        <v>83</v>
      </c>
      <c r="B11" s="25" t="n">
        <f aca="false">前提条件!B11</f>
        <v>0.3</v>
      </c>
      <c r="C11" s="4"/>
    </row>
    <row r="12" customFormat="false" ht="19.5" hidden="false" customHeight="true" outlineLevel="0" collapsed="false">
      <c r="A12" s="4" t="s">
        <v>84</v>
      </c>
      <c r="B12" s="26" t="n">
        <f aca="false">前提条件!B12</f>
        <v>3.33333333333333</v>
      </c>
      <c r="C12" s="4"/>
    </row>
    <row r="13" customFormat="false" ht="19.5" hidden="false" customHeight="true" outlineLevel="0" collapsed="false">
      <c r="A13" s="8" t="s">
        <v>85</v>
      </c>
      <c r="B13" s="27" t="n">
        <f aca="false">B10*B12</f>
        <v>0.258333333333333</v>
      </c>
      <c r="C13" s="11" t="s">
        <v>86</v>
      </c>
    </row>
    <row r="15" customFormat="false" ht="21.75" hidden="false" customHeight="true" outlineLevel="0" collapsed="false">
      <c r="A15" s="28" t="s">
        <v>87</v>
      </c>
      <c r="B15" s="28"/>
      <c r="C15" s="28"/>
    </row>
    <row r="16" customFormat="false" ht="19.5" hidden="false" customHeight="true" outlineLevel="0" collapsed="false">
      <c r="A16" s="4" t="s">
        <v>88</v>
      </c>
      <c r="B16" s="24" t="n">
        <f aca="false">前提条件!B17</f>
        <v>3000</v>
      </c>
      <c r="C16" s="4"/>
    </row>
    <row r="17" customFormat="false" ht="19.5" hidden="false" customHeight="true" outlineLevel="0" collapsed="false">
      <c r="A17" s="8" t="s">
        <v>33</v>
      </c>
      <c r="B17" s="24" t="n">
        <f aca="false">前提条件!B18</f>
        <v>2000</v>
      </c>
      <c r="C17" s="4"/>
    </row>
    <row r="18" customFormat="false" ht="19.5" hidden="false" customHeight="true" outlineLevel="0" collapsed="false">
      <c r="A18" s="4" t="s">
        <v>89</v>
      </c>
      <c r="B18" s="24" t="n">
        <f aca="false">前提条件!B19</f>
        <v>5000</v>
      </c>
      <c r="C18" s="4"/>
    </row>
    <row r="19" customFormat="false" ht="19.5" hidden="false" customHeight="true" outlineLevel="0" collapsed="false">
      <c r="A19" s="14" t="s">
        <v>90</v>
      </c>
      <c r="B19" s="29" t="n">
        <f aca="false">IFERROR(B13/B16,0)</f>
        <v>8.61111111111111E-005</v>
      </c>
      <c r="C19" s="7" t="s">
        <v>91</v>
      </c>
    </row>
    <row r="20" customFormat="false" ht="19.5" hidden="false" customHeight="true" outlineLevel="0" collapsed="false">
      <c r="A20" s="7" t="s">
        <v>92</v>
      </c>
      <c r="B20" s="30" t="n">
        <f aca="false">IFERROR(B16/B10*12,0)</f>
        <v>464516.129032258</v>
      </c>
      <c r="C20" s="7" t="s">
        <v>93</v>
      </c>
    </row>
    <row r="21" customFormat="false" ht="19.5" hidden="false" customHeight="true" outlineLevel="0" collapsed="false">
      <c r="A21" s="8" t="s">
        <v>94</v>
      </c>
      <c r="B21" s="31" t="n">
        <f aca="false">IFERROR(B16/B8,0)</f>
        <v>96774.1935483871</v>
      </c>
      <c r="C21" s="4" t="s">
        <v>95</v>
      </c>
    </row>
    <row r="23" customFormat="false" ht="15" hidden="false" customHeight="true" outlineLevel="0" collapsed="false">
      <c r="A23" s="28" t="s">
        <v>96</v>
      </c>
      <c r="B23" s="28"/>
      <c r="C23" s="28"/>
    </row>
    <row r="24" customFormat="false" ht="30" hidden="false" customHeight="true" outlineLevel="0" collapsed="false">
      <c r="A24" s="32" t="s">
        <v>97</v>
      </c>
      <c r="B24" s="33" t="s">
        <v>98</v>
      </c>
      <c r="C24" s="33"/>
    </row>
    <row r="25" customFormat="false" ht="30" hidden="false" customHeight="true" outlineLevel="0" collapsed="false">
      <c r="A25" s="34" t="s">
        <v>99</v>
      </c>
      <c r="B25" s="35" t="s">
        <v>100</v>
      </c>
      <c r="C25" s="35"/>
    </row>
    <row r="26" customFormat="false" ht="30" hidden="false" customHeight="true" outlineLevel="0" collapsed="false">
      <c r="A26" s="32" t="s">
        <v>101</v>
      </c>
      <c r="B26" s="33" t="s">
        <v>102</v>
      </c>
      <c r="C26" s="33"/>
    </row>
    <row r="27" customFormat="false" ht="30" hidden="false" customHeight="true" outlineLevel="0" collapsed="false">
      <c r="A27" s="34" t="s">
        <v>103</v>
      </c>
      <c r="B27" s="36" t="s">
        <v>104</v>
      </c>
      <c r="C27" s="36"/>
    </row>
  </sheetData>
  <mergeCells count="8">
    <mergeCell ref="A1:C1"/>
    <mergeCell ref="A3:C3"/>
    <mergeCell ref="A15:C15"/>
    <mergeCell ref="A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5"/>
  </cols>
  <sheetData>
    <row r="1" customFormat="false" ht="30" hidden="false" customHeight="true" outlineLevel="0" collapsed="false">
      <c r="A1" s="23" t="s">
        <v>105</v>
      </c>
      <c r="B1" s="23"/>
      <c r="C1" s="23"/>
      <c r="D1" s="23"/>
      <c r="E1" s="23"/>
      <c r="F1" s="23"/>
    </row>
    <row r="2" customFormat="false" ht="21.75" hidden="false" customHeight="true" outlineLevel="0" collapsed="false">
      <c r="A2" s="37" t="s">
        <v>106</v>
      </c>
      <c r="B2" s="38" t="s">
        <v>107</v>
      </c>
      <c r="C2" s="38" t="s">
        <v>108</v>
      </c>
      <c r="D2" s="38" t="s">
        <v>109</v>
      </c>
      <c r="E2" s="38" t="s">
        <v>110</v>
      </c>
      <c r="F2" s="38" t="s">
        <v>111</v>
      </c>
    </row>
    <row r="3" customFormat="false" ht="21.75" hidden="false" customHeight="true" outlineLevel="0" collapsed="false">
      <c r="A3" s="28" t="s">
        <v>112</v>
      </c>
      <c r="B3" s="28"/>
      <c r="C3" s="28"/>
      <c r="D3" s="28"/>
      <c r="E3" s="28"/>
      <c r="F3" s="28"/>
    </row>
    <row r="4" customFormat="false" ht="19.5" hidden="false" customHeight="true" outlineLevel="0" collapsed="false">
      <c r="A4" s="4" t="s">
        <v>113</v>
      </c>
      <c r="B4" s="10" t="n">
        <f aca="false">前提条件!B30</f>
        <v>300</v>
      </c>
      <c r="C4" s="24" t="n">
        <f aca="false">B4*前提条件!B31</f>
        <v>390</v>
      </c>
      <c r="D4" s="24" t="n">
        <f aca="false">C4*前提条件!B32</f>
        <v>585</v>
      </c>
      <c r="E4" s="24" t="n">
        <f aca="false">D4*前提条件!B33</f>
        <v>877.5</v>
      </c>
      <c r="F4" s="24" t="n">
        <f aca="false">E4*前提条件!B34</f>
        <v>1140.75</v>
      </c>
    </row>
    <row r="5" customFormat="false" ht="19.5" hidden="false" customHeight="true" outlineLevel="0" collapsed="false">
      <c r="A5" s="4" t="s">
        <v>114</v>
      </c>
      <c r="B5" s="10" t="n">
        <f aca="false">ROUND(B4/3,0)</f>
        <v>100</v>
      </c>
      <c r="C5" s="10" t="n">
        <f aca="false">ROUND(C4/3,0)</f>
        <v>130</v>
      </c>
      <c r="D5" s="10" t="n">
        <f aca="false">ROUND(D4/3,0)</f>
        <v>195</v>
      </c>
      <c r="E5" s="10" t="n">
        <f aca="false">ROUND(E4/3,0)</f>
        <v>293</v>
      </c>
      <c r="F5" s="10" t="n">
        <f aca="false">ROUND(F4/3,0)</f>
        <v>380</v>
      </c>
    </row>
    <row r="6" customFormat="false" ht="19.5" hidden="false" customHeight="true" outlineLevel="0" collapsed="false">
      <c r="A6" s="4" t="s">
        <v>115</v>
      </c>
      <c r="B6" s="10" t="n">
        <f aca="false">B4*前提条件!$B$10</f>
        <v>750</v>
      </c>
      <c r="C6" s="10" t="n">
        <f aca="false">C4*前提条件!$B$10</f>
        <v>975</v>
      </c>
      <c r="D6" s="10" t="n">
        <f aca="false">D4*前提条件!$B$10</f>
        <v>1462.5</v>
      </c>
      <c r="E6" s="10" t="n">
        <f aca="false">E4*前提条件!$B$10</f>
        <v>2193.75</v>
      </c>
      <c r="F6" s="10" t="n">
        <f aca="false">F4*前提条件!$B$10</f>
        <v>2851.875</v>
      </c>
    </row>
    <row r="7" customFormat="false" ht="21.75" hidden="false" customHeight="true" outlineLevel="0" collapsed="false">
      <c r="A7" s="3" t="s">
        <v>116</v>
      </c>
      <c r="B7" s="3"/>
      <c r="C7" s="3"/>
      <c r="D7" s="3"/>
      <c r="E7" s="3"/>
      <c r="F7" s="3"/>
    </row>
    <row r="8" customFormat="false" ht="19.5" hidden="false" customHeight="true" outlineLevel="0" collapsed="false">
      <c r="A8" s="7" t="s">
        <v>117</v>
      </c>
      <c r="B8" s="10" t="n">
        <f aca="false">B6*前提条件!$B$4/10000</f>
        <v>750</v>
      </c>
      <c r="C8" s="10" t="n">
        <f aca="false">C6*前提条件!$B$4/10000</f>
        <v>975</v>
      </c>
      <c r="D8" s="10" t="n">
        <f aca="false">D6*前提条件!$B$4/10000</f>
        <v>1462.5</v>
      </c>
      <c r="E8" s="10" t="n">
        <f aca="false">E6*前提条件!$B$4/10000</f>
        <v>2193.75</v>
      </c>
      <c r="F8" s="10" t="n">
        <f aca="false">F6*前提条件!$B$4/10000</f>
        <v>2851.875</v>
      </c>
    </row>
    <row r="9" customFormat="false" ht="19.5" hidden="false" customHeight="true" outlineLevel="0" collapsed="false">
      <c r="A9" s="4" t="s">
        <v>118</v>
      </c>
      <c r="B9" s="10" t="n">
        <f aca="false">B8*前提条件!$B$5</f>
        <v>112.5</v>
      </c>
      <c r="C9" s="10" t="n">
        <f aca="false">C8*前提条件!$B$5</f>
        <v>146.25</v>
      </c>
      <c r="D9" s="10" t="n">
        <f aca="false">D8*前提条件!$B$5</f>
        <v>219.375</v>
      </c>
      <c r="E9" s="10" t="n">
        <f aca="false">E8*前提条件!$B$5</f>
        <v>329.0625</v>
      </c>
      <c r="F9" s="10" t="n">
        <f aca="false">F8*前提条件!$B$5</f>
        <v>427.78125</v>
      </c>
    </row>
    <row r="10" customFormat="false" ht="19.5" hidden="false" customHeight="true" outlineLevel="0" collapsed="false">
      <c r="A10" s="4" t="s">
        <v>119</v>
      </c>
      <c r="B10" s="10" t="n">
        <f aca="false">-B8*前提条件!$B$7</f>
        <v>-23.25</v>
      </c>
      <c r="C10" s="10" t="n">
        <f aca="false">-C8*前提条件!$B$7</f>
        <v>-30.225</v>
      </c>
      <c r="D10" s="10" t="n">
        <f aca="false">-D8*前提条件!$B$7</f>
        <v>-45.3375</v>
      </c>
      <c r="E10" s="10" t="n">
        <f aca="false">-E8*前提条件!$B$7</f>
        <v>-68.00625</v>
      </c>
      <c r="F10" s="10" t="n">
        <f aca="false">-F8*前提条件!$B$7</f>
        <v>-88.408125</v>
      </c>
    </row>
    <row r="11" customFormat="false" ht="19.5" hidden="false" customHeight="true" outlineLevel="0" collapsed="false">
      <c r="A11" s="32" t="s">
        <v>120</v>
      </c>
      <c r="B11" s="39" t="n">
        <f aca="false">B9+B10</f>
        <v>89.25</v>
      </c>
      <c r="C11" s="39" t="n">
        <f aca="false">C9+C10</f>
        <v>116.025</v>
      </c>
      <c r="D11" s="39" t="n">
        <f aca="false">D9+D10</f>
        <v>174.0375</v>
      </c>
      <c r="E11" s="39" t="n">
        <f aca="false">E9+E10</f>
        <v>261.05625</v>
      </c>
      <c r="F11" s="39" t="n">
        <f aca="false">F9+F10</f>
        <v>339.373125</v>
      </c>
    </row>
    <row r="12" customFormat="false" ht="21.75" hidden="false" customHeight="true" outlineLevel="0" collapsed="false">
      <c r="A12" s="28" t="s">
        <v>121</v>
      </c>
      <c r="B12" s="28"/>
      <c r="C12" s="28"/>
      <c r="D12" s="28"/>
      <c r="E12" s="28"/>
      <c r="F12" s="28"/>
    </row>
    <row r="13" customFormat="false" ht="19.5" hidden="false" customHeight="true" outlineLevel="0" collapsed="false">
      <c r="A13" s="4" t="s">
        <v>122</v>
      </c>
      <c r="B13" s="10" t="n">
        <f aca="false">-前提条件!$B$35*12/10000</f>
        <v>-36</v>
      </c>
      <c r="C13" s="10" t="n">
        <f aca="false">-前提条件!$B$35*12/10000</f>
        <v>-36</v>
      </c>
      <c r="D13" s="10" t="n">
        <f aca="false">-前提条件!$B$35*12/10000</f>
        <v>-36</v>
      </c>
      <c r="E13" s="10" t="n">
        <f aca="false">-前提条件!$B$35*12/10000</f>
        <v>-36</v>
      </c>
      <c r="F13" s="10" t="n">
        <f aca="false">-前提条件!$B$35*12/10000</f>
        <v>-36</v>
      </c>
    </row>
    <row r="14" customFormat="false" ht="19.5" hidden="false" customHeight="true" outlineLevel="0" collapsed="false">
      <c r="A14" s="4" t="s">
        <v>123</v>
      </c>
      <c r="B14" s="10" t="n">
        <f aca="false">-前提条件!$B$28/10000</f>
        <v>-18</v>
      </c>
      <c r="C14" s="10" t="n">
        <f aca="false">-前提条件!$B$28/10000</f>
        <v>-18</v>
      </c>
      <c r="D14" s="10" t="n">
        <f aca="false">-前提条件!$B$28/10000</f>
        <v>-18</v>
      </c>
      <c r="E14" s="10" t="n">
        <f aca="false">-前提条件!$B$28/10000</f>
        <v>-18</v>
      </c>
      <c r="F14" s="10" t="n">
        <f aca="false">-前提条件!$B$28/10000</f>
        <v>-18</v>
      </c>
    </row>
    <row r="15" customFormat="false" ht="19.5" hidden="false" customHeight="true" outlineLevel="0" collapsed="false">
      <c r="A15" s="32" t="s">
        <v>124</v>
      </c>
      <c r="B15" s="39" t="n">
        <f aca="false">B13+B14</f>
        <v>-54</v>
      </c>
      <c r="C15" s="39" t="n">
        <f aca="false">C13+C14</f>
        <v>-54</v>
      </c>
      <c r="D15" s="39" t="n">
        <f aca="false">D13+D14</f>
        <v>-54</v>
      </c>
      <c r="E15" s="39" t="n">
        <f aca="false">E13+E14</f>
        <v>-54</v>
      </c>
      <c r="F15" s="39" t="n">
        <f aca="false">F13+F14</f>
        <v>-54</v>
      </c>
    </row>
    <row r="16" customFormat="false" ht="21.75" hidden="false" customHeight="true" outlineLevel="0" collapsed="false">
      <c r="A16" s="28" t="s">
        <v>125</v>
      </c>
      <c r="B16" s="28"/>
      <c r="C16" s="28"/>
      <c r="D16" s="28"/>
      <c r="E16" s="28"/>
      <c r="F16" s="28"/>
    </row>
    <row r="17" customFormat="false" ht="19.5" hidden="false" customHeight="true" outlineLevel="0" collapsed="false">
      <c r="A17" s="32" t="s">
        <v>126</v>
      </c>
      <c r="B17" s="39" t="n">
        <f aca="false">B11+B15</f>
        <v>35.25</v>
      </c>
      <c r="C17" s="39" t="n">
        <f aca="false">C11+C15</f>
        <v>62.025</v>
      </c>
      <c r="D17" s="39" t="n">
        <f aca="false">D11+D15</f>
        <v>120.0375</v>
      </c>
      <c r="E17" s="39" t="n">
        <f aca="false">E11+E15</f>
        <v>207.05625</v>
      </c>
      <c r="F17" s="39" t="n">
        <f aca="false">F11+F15</f>
        <v>285.373125</v>
      </c>
    </row>
    <row r="18" customFormat="false" ht="19.5" hidden="false" customHeight="true" outlineLevel="0" collapsed="false">
      <c r="A18" s="4" t="s">
        <v>127</v>
      </c>
      <c r="B18" s="40" t="n">
        <f aca="false">IFERROR(B17/B11,0)</f>
        <v>0.394957983193277</v>
      </c>
      <c r="C18" s="40" t="n">
        <f aca="false">IFERROR(C17/C11,0)</f>
        <v>0.534583063994829</v>
      </c>
      <c r="D18" s="40" t="n">
        <f aca="false">IFERROR(D17/D11,0)</f>
        <v>0.689722042663219</v>
      </c>
      <c r="E18" s="40" t="n">
        <f aca="false">IFERROR(E17/E11,0)</f>
        <v>0.793148028442146</v>
      </c>
      <c r="F18" s="40" t="n">
        <f aca="false">IFERROR(F17/F11,0)</f>
        <v>0.840883098801651</v>
      </c>
    </row>
    <row r="19" customFormat="false" ht="19.5" hidden="false" customHeight="true" outlineLevel="0" collapsed="false">
      <c r="A19" s="32" t="s">
        <v>128</v>
      </c>
      <c r="B19" s="41" t="n">
        <f aca="false">B17</f>
        <v>35.25</v>
      </c>
      <c r="C19" s="41" t="n">
        <f aca="false">B19+C17</f>
        <v>97.275</v>
      </c>
      <c r="D19" s="41" t="n">
        <f aca="false">C19+D17</f>
        <v>217.3125</v>
      </c>
      <c r="E19" s="41" t="n">
        <f aca="false">D19+E17</f>
        <v>424.36875</v>
      </c>
      <c r="F19" s="41" t="n">
        <f aca="false">E19+F17</f>
        <v>709.741875</v>
      </c>
    </row>
    <row r="21" customFormat="false" ht="30" hidden="false" customHeight="true" outlineLevel="0" collapsed="false">
      <c r="A21" s="42" t="s">
        <v>129</v>
      </c>
      <c r="B21" s="42"/>
      <c r="C21" s="42"/>
      <c r="D21" s="42"/>
      <c r="E21" s="42"/>
      <c r="F21" s="42"/>
    </row>
  </sheetData>
  <mergeCells count="6">
    <mergeCell ref="A1:F1"/>
    <mergeCell ref="A3:F3"/>
    <mergeCell ref="A7:F7"/>
    <mergeCell ref="A12:F12"/>
    <mergeCell ref="A16:F16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  <col collapsed="false" customWidth="true" hidden="false" outlineLevel="0" max="5" min="5" style="1" width="32"/>
  </cols>
  <sheetData>
    <row r="1" customFormat="false" ht="30" hidden="false" customHeight="true" outlineLevel="0" collapsed="false">
      <c r="A1" s="23" t="s">
        <v>130</v>
      </c>
      <c r="B1" s="23"/>
      <c r="C1" s="23"/>
      <c r="D1" s="23"/>
      <c r="E1" s="23"/>
    </row>
    <row r="2" customFormat="false" ht="21.75" hidden="false" customHeight="true" outlineLevel="0" collapsed="false">
      <c r="A2" s="43" t="s">
        <v>106</v>
      </c>
      <c r="B2" s="44" t="s">
        <v>131</v>
      </c>
      <c r="C2" s="43" t="s">
        <v>132</v>
      </c>
      <c r="D2" s="45" t="s">
        <v>133</v>
      </c>
      <c r="E2" s="43" t="s">
        <v>134</v>
      </c>
    </row>
    <row r="3" customFormat="false" ht="21.75" hidden="false" customHeight="true" outlineLevel="0" collapsed="false">
      <c r="A3" s="28" t="s">
        <v>135</v>
      </c>
      <c r="B3" s="28"/>
      <c r="C3" s="28"/>
      <c r="D3" s="28"/>
      <c r="E3" s="28"/>
    </row>
    <row r="4" customFormat="false" ht="19.5" hidden="false" customHeight="true" outlineLevel="0" collapsed="false">
      <c r="A4" s="7" t="s">
        <v>136</v>
      </c>
      <c r="B4" s="5" t="n">
        <v>3000</v>
      </c>
      <c r="C4" s="5" t="n">
        <v>20000</v>
      </c>
      <c r="D4" s="5" t="n">
        <v>80000</v>
      </c>
      <c r="E4" s="4" t="s">
        <v>137</v>
      </c>
    </row>
    <row r="5" customFormat="false" ht="19.5" hidden="false" customHeight="true" outlineLevel="0" collapsed="false">
      <c r="A5" s="8" t="s">
        <v>138</v>
      </c>
      <c r="B5" s="17" t="n">
        <v>1.5</v>
      </c>
      <c r="C5" s="17" t="n">
        <v>2.5</v>
      </c>
      <c r="D5" s="17" t="n">
        <v>4</v>
      </c>
      <c r="E5" s="8" t="s">
        <v>139</v>
      </c>
    </row>
    <row r="6" customFormat="false" ht="19.5" hidden="false" customHeight="true" outlineLevel="0" collapsed="false">
      <c r="A6" s="4" t="s">
        <v>140</v>
      </c>
      <c r="B6" s="5" t="n">
        <v>8000</v>
      </c>
      <c r="C6" s="5" t="n">
        <v>10000</v>
      </c>
      <c r="D6" s="5" t="n">
        <v>13000</v>
      </c>
      <c r="E6" s="4" t="s">
        <v>141</v>
      </c>
    </row>
    <row r="7" customFormat="false" ht="19.5" hidden="false" customHeight="true" outlineLevel="0" collapsed="false">
      <c r="A7" s="8" t="s">
        <v>142</v>
      </c>
      <c r="B7" s="46" t="n">
        <v>0.12</v>
      </c>
      <c r="C7" s="46" t="n">
        <v>0.15</v>
      </c>
      <c r="D7" s="46" t="n">
        <v>0.18</v>
      </c>
      <c r="E7" s="8" t="s">
        <v>143</v>
      </c>
    </row>
    <row r="8" customFormat="false" ht="19.5" hidden="false" customHeight="true" outlineLevel="0" collapsed="false">
      <c r="A8" s="4" t="s">
        <v>144</v>
      </c>
      <c r="B8" s="5" t="n">
        <v>4000</v>
      </c>
      <c r="C8" s="5" t="n">
        <v>1500</v>
      </c>
      <c r="D8" s="5" t="n">
        <v>800</v>
      </c>
      <c r="E8" s="4" t="s">
        <v>145</v>
      </c>
    </row>
    <row r="9" customFormat="false" ht="21.75" hidden="false" customHeight="true" outlineLevel="0" collapsed="false">
      <c r="A9" s="3" t="s">
        <v>146</v>
      </c>
      <c r="B9" s="3"/>
      <c r="C9" s="3"/>
      <c r="D9" s="3"/>
      <c r="E9" s="3"/>
    </row>
    <row r="10" customFormat="false" ht="19.5" hidden="false" customHeight="true" outlineLevel="0" collapsed="false">
      <c r="A10" s="47" t="s">
        <v>147</v>
      </c>
      <c r="B10" s="10" t="n">
        <f aca="false">B4*B5*B6/10000</f>
        <v>3600</v>
      </c>
      <c r="C10" s="10" t="n">
        <f aca="false">C4*C5*C6/10000</f>
        <v>50000</v>
      </c>
      <c r="D10" s="10" t="n">
        <f aca="false">D4*D5*D6/10000</f>
        <v>416000</v>
      </c>
    </row>
    <row r="11" customFormat="false" ht="19.5" hidden="false" customHeight="true" outlineLevel="0" collapsed="false">
      <c r="A11" s="8" t="s">
        <v>118</v>
      </c>
      <c r="B11" s="48" t="n">
        <f aca="false">B10*B7</f>
        <v>432</v>
      </c>
      <c r="C11" s="48" t="n">
        <f aca="false">C10*C7</f>
        <v>7500</v>
      </c>
      <c r="D11" s="48" t="n">
        <f aca="false">D10*D7</f>
        <v>74880</v>
      </c>
    </row>
    <row r="12" customFormat="false" ht="19.5" hidden="false" customHeight="true" outlineLevel="0" collapsed="false">
      <c r="A12" s="4" t="s">
        <v>148</v>
      </c>
      <c r="B12" s="10" t="n">
        <f aca="false">B11*(1-前提条件!$B$7)</f>
        <v>418.608</v>
      </c>
      <c r="C12" s="10" t="n">
        <f aca="false">C11*(1-前提条件!$B$7)</f>
        <v>7267.5</v>
      </c>
      <c r="D12" s="10" t="n">
        <f aca="false">D11*(1-前提条件!$B$7)</f>
        <v>72558.72</v>
      </c>
    </row>
    <row r="13" customFormat="false" ht="19.5" hidden="false" customHeight="true" outlineLevel="0" collapsed="false">
      <c r="A13" s="8" t="s">
        <v>149</v>
      </c>
      <c r="B13" s="48" t="n">
        <f aca="false">-前提条件!$B$28/10000</f>
        <v>-18</v>
      </c>
      <c r="C13" s="48" t="n">
        <f aca="false">-前提条件!$B$28/10000</f>
        <v>-18</v>
      </c>
      <c r="D13" s="48" t="n">
        <f aca="false">-前提条件!$B$28/10000</f>
        <v>-18</v>
      </c>
    </row>
    <row r="14" customFormat="false" ht="19.5" hidden="false" customHeight="true" outlineLevel="0" collapsed="false">
      <c r="A14" s="4" t="s">
        <v>150</v>
      </c>
      <c r="B14" s="10" t="n">
        <f aca="false">-前提条件!$B$35*12/10000</f>
        <v>-36</v>
      </c>
      <c r="C14" s="10" t="n">
        <f aca="false">-前提条件!$B$35*12/10000</f>
        <v>-36</v>
      </c>
      <c r="D14" s="10" t="n">
        <f aca="false">-前提条件!$B$35*12/10000</f>
        <v>-36</v>
      </c>
    </row>
    <row r="15" customFormat="false" ht="19.5" hidden="false" customHeight="true" outlineLevel="0" collapsed="false">
      <c r="A15" s="49" t="s">
        <v>151</v>
      </c>
      <c r="B15" s="50" t="n">
        <f aca="false">B12+B13+B14</f>
        <v>364.608</v>
      </c>
      <c r="C15" s="27" t="n">
        <f aca="false">C12+C13+C14</f>
        <v>7213.5</v>
      </c>
      <c r="D15" s="27" t="n">
        <f aca="false">D12+D13+D14</f>
        <v>72504.72</v>
      </c>
    </row>
    <row r="16" customFormat="false" ht="19.5" hidden="false" customHeight="true" outlineLevel="0" collapsed="false">
      <c r="A16" s="7" t="s">
        <v>152</v>
      </c>
      <c r="B16" s="40" t="n">
        <f aca="false">IFERROR(B15/B12,0)</f>
        <v>0.871001031991744</v>
      </c>
      <c r="C16" s="40" t="n">
        <f aca="false">IFERROR(C15/C12,0)</f>
        <v>0.992569659442725</v>
      </c>
      <c r="D16" s="40" t="n">
        <f aca="false">IFERROR(D15/D12,0)</f>
        <v>0.999255775184568</v>
      </c>
    </row>
    <row r="17" customFormat="false" ht="19.5" hidden="false" customHeight="true" outlineLevel="0" collapsed="false">
      <c r="A17" s="14" t="s">
        <v>153</v>
      </c>
      <c r="B17" s="51" t="n">
        <f aca="false">IFERROR((B12/(B4*前提条件!$B$12))*前提条件!$B$10*前提条件!$B$12/B8,0)</f>
        <v>8.721E-005</v>
      </c>
      <c r="C17" s="51" t="n">
        <f aca="false">IFERROR((C12/(C4*前提条件!$B$12))*前提条件!$B$10*前提条件!$B$12/C8,0)</f>
        <v>0.000605625</v>
      </c>
      <c r="D17" s="51" t="n">
        <f aca="false">IFERROR((D12/(D4*前提条件!$B$12))*前提条件!$B$10*前提条件!$B$12/D8,0)</f>
        <v>0.002834325</v>
      </c>
    </row>
    <row r="19" customFormat="false" ht="21.75" hidden="false" customHeight="true" outlineLevel="0" collapsed="false">
      <c r="A19" s="28" t="s">
        <v>154</v>
      </c>
      <c r="B19" s="28"/>
      <c r="C19" s="28"/>
      <c r="D19" s="28"/>
      <c r="E19" s="28"/>
    </row>
    <row r="20" customFormat="false" ht="39.75" hidden="false" customHeight="true" outlineLevel="0" collapsed="false">
      <c r="A20" s="52" t="s">
        <v>131</v>
      </c>
      <c r="B20" s="53" t="s">
        <v>155</v>
      </c>
      <c r="C20" s="53"/>
      <c r="D20" s="53"/>
      <c r="E20" s="53"/>
    </row>
    <row r="21" customFormat="false" ht="39.75" hidden="false" customHeight="true" outlineLevel="0" collapsed="false">
      <c r="A21" s="54" t="s">
        <v>132</v>
      </c>
      <c r="B21" s="55" t="s">
        <v>156</v>
      </c>
      <c r="C21" s="55"/>
      <c r="D21" s="55"/>
      <c r="E21" s="55"/>
    </row>
    <row r="22" customFormat="false" ht="39.75" hidden="false" customHeight="true" outlineLevel="0" collapsed="false">
      <c r="A22" s="54" t="s">
        <v>133</v>
      </c>
      <c r="B22" s="56" t="s">
        <v>157</v>
      </c>
      <c r="C22" s="56"/>
      <c r="D22" s="56"/>
      <c r="E22" s="56"/>
    </row>
    <row r="23" customFormat="false" ht="39.75" hidden="false" customHeight="true" outlineLevel="0" collapsed="false">
      <c r="A23" s="57" t="s">
        <v>158</v>
      </c>
      <c r="B23" s="58" t="s">
        <v>159</v>
      </c>
      <c r="C23" s="58"/>
      <c r="D23" s="58"/>
      <c r="E23" s="58"/>
    </row>
  </sheetData>
  <mergeCells count="8">
    <mergeCell ref="A1:E1"/>
    <mergeCell ref="A3:E3"/>
    <mergeCell ref="A9:E9"/>
    <mergeCell ref="A19:E19"/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2026-04-12T01:04:57Z</dcterms:created>
  <dc:creator>openpyxl</dc:creator>
  <dc:description/>
  <dc:language>en-US</dc:language>
  <cp:lastModifiedBy/>
  <dcterms:modified xsi:type="dcterms:W3CDTF">2026-04-12T13:07:52Z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